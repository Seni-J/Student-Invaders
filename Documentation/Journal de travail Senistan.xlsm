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filterPrivacy="1" codeName="ThisWorkbook" hidePivotFieldList="1"/>
  <xr:revisionPtr revIDLastSave="0" documentId="10_ncr:8100000_{E7E5D797-C096-4D02-A343-0AEF95ED7AE0}" xr6:coauthVersionLast="32" xr6:coauthVersionMax="32" xr10:uidLastSave="{00000000-0000-0000-0000-000000000000}"/>
  <bookViews>
    <workbookView xWindow="0" yWindow="465" windowWidth="28800" windowHeight="17535" activeTab="1" xr2:uid="{00000000-000D-0000-FFFF-FFFF00000000}"/>
  </bookViews>
  <sheets>
    <sheet name="Journal" sheetId="1" r:id="rId1"/>
    <sheet name="Totaux" sheetId="4" r:id="rId2"/>
    <sheet name="Paramètres" sheetId="2" r:id="rId3"/>
  </sheets>
  <calcPr calcId="162913" concurrentCalc="0"/>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8" i="1"/>
  <c r="B17" i="1"/>
  <c r="B16" i="1"/>
  <c r="B19" i="1"/>
  <c r="B20" i="1"/>
  <c r="B21" i="1"/>
  <c r="B22" i="1"/>
  <c r="B23" i="1"/>
  <c r="B24" i="1"/>
  <c r="B25" i="1"/>
  <c r="B26" i="1"/>
  <c r="B27" i="1"/>
  <c r="B28" i="1"/>
</calcChain>
</file>

<file path=xl/sharedStrings.xml><?xml version="1.0" encoding="utf-8"?>
<sst xmlns="http://schemas.openxmlformats.org/spreadsheetml/2006/main" count="82" uniqueCount="50">
  <si>
    <t>Description</t>
  </si>
  <si>
    <t>Remarques/problèmes</t>
  </si>
  <si>
    <t>Jour</t>
  </si>
  <si>
    <t>Temps [h]</t>
  </si>
  <si>
    <t>Type</t>
  </si>
  <si>
    <t>Types de tâches</t>
  </si>
  <si>
    <t>Analyse</t>
  </si>
  <si>
    <t>Implémentation</t>
  </si>
  <si>
    <t>Tests</t>
  </si>
  <si>
    <t>Documentation</t>
  </si>
  <si>
    <t>Absence</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</si>
  <si>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</si>
  <si>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</si>
  <si>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</si>
  <si>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</si>
  <si>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</si>
  <si>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</si>
  <si>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</si>
  <si>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</si>
  <si>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</si>
  <si>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</si>
  <si>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</si>
  <si>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</si>
  <si>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</si>
  <si>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</si>
  <si>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</si>
  <si>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</si>
  <si>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</si>
  <si>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</si>
  <si>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</si>
  <si>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</si>
  <si>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</si>
  <si>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</si>
  <si>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</si>
  <si>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</si>
  <si>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</si>
  <si>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</si>
  <si>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</si>
  <si>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</si>
  <si>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</si>
  <si>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</si>
  <si>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</si>
  <si>
    <t>Sprint Review du Sprint No 2, Le professeur. Quelques erreurs subsitent et deux objectifs du sprint n'ont pas été implémentés.</t>
  </si>
  <si>
    <t>Une démo est prévue pour les deux objectifs manquants.</t>
  </si>
  <si>
    <t>J'ai repris la documentation pour faire la stratégie de test. J'ai aussi complété la partie planification.</t>
  </si>
  <si>
    <t>J'ai pu mettre en place les mots. Après avoir implémenté ceci, j'ai commencé à coder les mots à prendre et la fabrication de l'avion. J'ai fini de mettre en place les deux objectifs, il ne reste plus que quelques détails pour paufiner le tout.</t>
  </si>
  <si>
    <t>J'ai écris la particularité après l'avoir regardé avec Mr. Carrel. J'ai complété la partie stratégie
 de test ainsi que le journal de bord.</t>
  </si>
  <si>
    <t>J'ai discuté avec Mr. Carrel pour l'affichage des boîtes avec les mots pour le prof. Il m'a aidé en améliorant ma solution pour simplifier la tâche.</t>
  </si>
  <si>
    <t>Suite à la discussion, je me suis mis à coder cette solution. J'ai d'ailleurs fini de mettre en place la solution. Il reste tout de même certains détails à régler tel que les mots viennent du voc choisi. J'ai aussi commenté le code pour ne pas trop perdre de temps.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</si>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</sst>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0" xfId="0"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45.726821759257" createdVersion="4" refreshedVersion="6" minRefreshableVersion="3" recordCount="27" xr:uid="{00000000-000A-0000-FFFF-FFFF04000000}">
  <cacheSource type="worksheet">
    <worksheetSource ref="A1:D28" sheet="Journal"/>
  </cacheSource>
  <cacheFields count="4">
    <cacheField name="Jour" numFmtId="16">
      <sharedItems containsSemiMixedTypes="0" containsNonDate="0" containsDate="1" containsString="0" minDate="2018-01-01T00:00:00" maxDate="2018-05-26T00:00:00" count="11">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6.25"/>
    </cacheField>
    <cacheField name="Type" numFmtId="0">
      <sharedItems count="5">
        <s v="Implémentation"/>
        <s v="Analyse"/>
        <s v="Documentation"/>
        <s v="Meeting"/>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n v="21"/>
    <n v="1.75"/>
    <x v="0"/>
  </r>
  <r>
    <x v="0"/>
    <n v="21"/>
    <n v="0.5"/>
    <x v="1"/>
  </r>
  <r>
    <x v="0"/>
    <n v="21"/>
    <n v="3"/>
    <x v="2"/>
  </r>
  <r>
    <x v="1"/>
    <n v="21"/>
    <n v="1.25"/>
    <x v="2"/>
  </r>
  <r>
    <x v="1"/>
    <n v="21"/>
    <n v="5"/>
    <x v="0"/>
  </r>
  <r>
    <x v="1"/>
    <n v="21"/>
    <n v="0.5"/>
    <x v="3"/>
  </r>
  <r>
    <x v="2"/>
    <n v="21"/>
    <n v="4"/>
    <x v="0"/>
  </r>
  <r>
    <x v="2"/>
    <n v="21"/>
    <n v="0.5"/>
    <x v="2"/>
  </r>
  <r>
    <x v="3"/>
    <n v="21"/>
    <n v="2"/>
    <x v="0"/>
  </r>
  <r>
    <x v="3"/>
    <n v="21"/>
    <n v="3.5"/>
    <x v="1"/>
  </r>
  <r>
    <x v="3"/>
    <n v="21"/>
    <n v="0.5"/>
    <x v="3"/>
  </r>
  <r>
    <x v="4"/>
    <n v="20"/>
    <n v="1.25"/>
    <x v="0"/>
  </r>
  <r>
    <x v="4"/>
    <n v="20"/>
    <n v="4"/>
    <x v="0"/>
  </r>
  <r>
    <x v="5"/>
    <n v="20"/>
    <n v="6.25"/>
    <x v="0"/>
  </r>
  <r>
    <x v="5"/>
    <n v="20"/>
    <n v="0.5"/>
    <x v="3"/>
  </r>
  <r>
    <x v="6"/>
    <n v="20"/>
    <n v="4"/>
    <x v="0"/>
  </r>
  <r>
    <x v="6"/>
    <n v="20"/>
    <n v="0.5"/>
    <x v="1"/>
  </r>
  <r>
    <x v="7"/>
    <n v="20"/>
    <n v="6"/>
    <x v="0"/>
  </r>
  <r>
    <x v="8"/>
    <n v="19"/>
    <n v="1.5"/>
    <x v="1"/>
  </r>
  <r>
    <x v="8"/>
    <n v="19"/>
    <n v="2"/>
    <x v="1"/>
  </r>
  <r>
    <x v="8"/>
    <n v="19"/>
    <n v="1"/>
    <x v="1"/>
  </r>
  <r>
    <x v="9"/>
    <n v="19"/>
    <n v="1.5"/>
    <x v="1"/>
  </r>
  <r>
    <x v="9"/>
    <n v="19"/>
    <n v="0.5"/>
    <x v="3"/>
  </r>
  <r>
    <x v="9"/>
    <n v="19"/>
    <n v="0.5"/>
    <x v="1"/>
  </r>
  <r>
    <x v="9"/>
    <n v="19"/>
    <n v="0.5"/>
    <x v="3"/>
  </r>
  <r>
    <x v="9"/>
    <n v="19"/>
    <n v="2"/>
    <x v="1"/>
  </r>
  <r>
    <x v="9"/>
    <n v="19"/>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5" firstHeaderRow="1" firstDataRow="2" firstDataCol="1"/>
  <pivotFields count="4">
    <pivotField axis="axisRow" numFmtId="16" showAll="0">
      <items count="12">
        <item m="1" x="10"/>
        <item x="3"/>
        <item x="5"/>
        <item x="6"/>
        <item x="7"/>
        <item x="8"/>
        <item x="9"/>
        <item x="4"/>
        <item x="0"/>
        <item x="1"/>
        <item x="2"/>
        <item t="default"/>
      </items>
    </pivotField>
    <pivotField showAll="0"/>
    <pivotField dataField="1" showAll="0"/>
    <pivotField axis="axisCol" showAll="0">
      <items count="6">
        <item x="2"/>
        <item x="0"/>
        <item x="1"/>
        <item m="1" x="4"/>
        <item x="3"/>
        <item t="default"/>
      </items>
    </pivotField>
  </pivotFields>
  <rowFields count="1">
    <field x="0"/>
  </rowFields>
  <rowItems count="11">
    <i>
      <x v="1"/>
    </i>
    <i>
      <x v="2"/>
    </i>
    <i>
      <x v="3"/>
    </i>
    <i>
      <x v="4"/>
    </i>
    <i>
      <x v="5"/>
    </i>
    <i>
      <x v="6"/>
    </i>
    <i>
      <x v="7"/>
    </i>
    <i>
      <x v="8"/>
    </i>
    <i>
      <x v="9"/>
    </i>
    <i>
      <x v="10"/>
    </i>
    <i t="grand">
      <x/>
    </i>
  </rowItems>
  <colFields count="1">
    <field x="3"/>
  </colFields>
  <colItems count="5">
    <i>
      <x/>
    </i>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29"/>
  <sheetViews>
    <sheetView workbookViewId="0">
      <selection activeCell="D3" sqref="D3"/>
    </sheetView>
  </sheetViews>
  <sheetFormatPr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11</v>
      </c>
      <c r="C1" s="9" t="s">
        <v>3</v>
      </c>
      <c r="D1" s="6" t="s">
        <v>4</v>
      </c>
      <c r="E1" s="10" t="s">
        <v>0</v>
      </c>
      <c r="F1" s="10" t="s">
        <v>1</v>
      </c>
    </row>
    <row r="2" spans="1:9" ht="45" x14ac:dyDescent="0.25">
      <c r="A2" s="7">
        <v>43245</v>
      </c>
      <c r="B2" s="19">
        <f t="shared" ref="B2" si="0">WEEKNUM(A2)</f>
        <v>21</v>
      </c>
      <c r="C2" s="12">
        <v>1.75</v>
      </c>
      <c r="D2" s="13" t="s">
        <v>7</v>
      </c>
      <c r="E2" s="22" t="s">
        <v>48</v>
      </c>
      <c r="F2" s="14"/>
      <c r="I2" s="15"/>
    </row>
    <row r="3" spans="1:9" ht="30" x14ac:dyDescent="0.25">
      <c r="A3" s="7">
        <v>43245</v>
      </c>
      <c r="B3" s="19">
        <f t="shared" ref="B3" si="1">WEEKNUM(A3)</f>
        <v>21</v>
      </c>
      <c r="C3" s="12">
        <v>0.5</v>
      </c>
      <c r="D3" s="13" t="s">
        <v>6</v>
      </c>
      <c r="E3" s="22" t="s">
        <v>47</v>
      </c>
      <c r="F3" s="14"/>
      <c r="I3" s="15"/>
    </row>
    <row r="4" spans="1:9" ht="30" x14ac:dyDescent="0.25">
      <c r="A4" s="7">
        <v>43245</v>
      </c>
      <c r="B4" s="19">
        <f t="shared" ref="B4" si="2">WEEKNUM(A4)</f>
        <v>21</v>
      </c>
      <c r="C4" s="12">
        <v>3</v>
      </c>
      <c r="D4" s="13" t="s">
        <v>9</v>
      </c>
      <c r="E4" s="22" t="s">
        <v>46</v>
      </c>
      <c r="F4" s="14"/>
      <c r="I4" s="15"/>
    </row>
    <row r="5" spans="1:9" ht="30" x14ac:dyDescent="0.25">
      <c r="A5" s="7">
        <v>43244</v>
      </c>
      <c r="B5" s="19">
        <f t="shared" ref="B5" si="3">WEEKNUM(A5)</f>
        <v>21</v>
      </c>
      <c r="C5" s="12">
        <v>1.25</v>
      </c>
      <c r="D5" s="13" t="s">
        <v>9</v>
      </c>
      <c r="E5" s="14" t="s">
        <v>44</v>
      </c>
      <c r="F5" s="14"/>
      <c r="I5" s="15"/>
    </row>
    <row r="6" spans="1:9" ht="45" x14ac:dyDescent="0.25">
      <c r="A6" s="7">
        <v>43244</v>
      </c>
      <c r="B6" s="19">
        <f t="shared" ref="B6" si="4">WEEKNUM(A6)</f>
        <v>21</v>
      </c>
      <c r="C6" s="12">
        <v>5</v>
      </c>
      <c r="D6" s="13" t="s">
        <v>7</v>
      </c>
      <c r="E6" s="14" t="s">
        <v>45</v>
      </c>
      <c r="F6" s="14"/>
      <c r="I6" s="15"/>
    </row>
    <row r="7" spans="1:9" ht="30" x14ac:dyDescent="0.25">
      <c r="A7" s="7">
        <v>43244</v>
      </c>
      <c r="B7" s="19">
        <f t="shared" ref="B7" si="5">WEEKNUM(A7)</f>
        <v>21</v>
      </c>
      <c r="C7" s="12">
        <v>0.5</v>
      </c>
      <c r="D7" s="13" t="s">
        <v>13</v>
      </c>
      <c r="E7" s="14" t="s">
        <v>42</v>
      </c>
      <c r="F7" s="14" t="s">
        <v>43</v>
      </c>
      <c r="I7" s="15"/>
    </row>
    <row r="8" spans="1:9" ht="60" x14ac:dyDescent="0.25">
      <c r="A8" s="7">
        <v>43243</v>
      </c>
      <c r="B8" s="19">
        <f t="shared" ref="B8" si="6">WEEKNUM(A8)</f>
        <v>21</v>
      </c>
      <c r="C8" s="12">
        <v>4</v>
      </c>
      <c r="D8" s="13" t="s">
        <v>7</v>
      </c>
      <c r="E8" s="14" t="s">
        <v>40</v>
      </c>
      <c r="F8" s="14" t="s">
        <v>41</v>
      </c>
      <c r="I8" s="15"/>
    </row>
    <row r="9" spans="1:9" ht="30" x14ac:dyDescent="0.25">
      <c r="A9" s="7">
        <v>43243</v>
      </c>
      <c r="B9" s="19">
        <f t="shared" ref="B9" si="7">WEEKNUM(A9)</f>
        <v>21</v>
      </c>
      <c r="C9" s="12">
        <v>0.5</v>
      </c>
      <c r="D9" s="13" t="s">
        <v>9</v>
      </c>
      <c r="E9" s="14" t="s">
        <v>39</v>
      </c>
      <c r="F9" s="14"/>
      <c r="I9" s="15"/>
    </row>
    <row r="10" spans="1:9" ht="30" x14ac:dyDescent="0.25">
      <c r="A10" s="7">
        <v>43242</v>
      </c>
      <c r="B10" s="19">
        <f t="shared" ref="B10:B18" si="8">WEEKNUM(A10)</f>
        <v>21</v>
      </c>
      <c r="C10" s="12">
        <v>2</v>
      </c>
      <c r="D10" s="13" t="s">
        <v>7</v>
      </c>
      <c r="E10" s="14" t="s">
        <v>36</v>
      </c>
      <c r="F10" s="14" t="s">
        <v>37</v>
      </c>
      <c r="I10" s="15"/>
    </row>
    <row r="11" spans="1:9" ht="45" x14ac:dyDescent="0.25">
      <c r="A11" s="7">
        <v>43242</v>
      </c>
      <c r="B11" s="19">
        <f t="shared" si="8"/>
        <v>21</v>
      </c>
      <c r="C11" s="12">
        <v>3.5</v>
      </c>
      <c r="D11" s="13" t="s">
        <v>6</v>
      </c>
      <c r="E11" s="14" t="s">
        <v>38</v>
      </c>
      <c r="F11" s="14"/>
      <c r="I11" s="15"/>
    </row>
    <row r="12" spans="1:9" ht="45" x14ac:dyDescent="0.25">
      <c r="A12" s="7">
        <v>43242</v>
      </c>
      <c r="B12" s="19">
        <f t="shared" si="8"/>
        <v>21</v>
      </c>
      <c r="C12" s="12">
        <v>0.5</v>
      </c>
      <c r="D12" s="13" t="s">
        <v>13</v>
      </c>
      <c r="E12" s="14" t="s">
        <v>35</v>
      </c>
      <c r="F12" s="14"/>
      <c r="I12" s="15"/>
    </row>
    <row r="13" spans="1:9" ht="45" x14ac:dyDescent="0.25">
      <c r="A13" s="7">
        <v>43238</v>
      </c>
      <c r="B13" s="19">
        <f t="shared" si="8"/>
        <v>20</v>
      </c>
      <c r="C13" s="12">
        <v>1.25</v>
      </c>
      <c r="D13" s="13" t="s">
        <v>7</v>
      </c>
      <c r="E13" s="14" t="s">
        <v>34</v>
      </c>
      <c r="F13" s="14"/>
      <c r="I13" s="15"/>
    </row>
    <row r="14" spans="1:9" ht="30" x14ac:dyDescent="0.25">
      <c r="A14" s="7">
        <v>43238</v>
      </c>
      <c r="B14" s="19">
        <f t="shared" si="8"/>
        <v>20</v>
      </c>
      <c r="C14" s="12">
        <v>4</v>
      </c>
      <c r="D14" s="13" t="s">
        <v>7</v>
      </c>
      <c r="E14" s="14" t="s">
        <v>32</v>
      </c>
      <c r="F14" s="14" t="s">
        <v>33</v>
      </c>
      <c r="I14" s="15"/>
    </row>
    <row r="15" spans="1:9" ht="45" x14ac:dyDescent="0.25">
      <c r="A15" s="7">
        <v>43237</v>
      </c>
      <c r="B15" s="19">
        <f t="shared" si="8"/>
        <v>20</v>
      </c>
      <c r="C15" s="12">
        <v>6.25</v>
      </c>
      <c r="D15" s="13" t="s">
        <v>7</v>
      </c>
      <c r="E15" s="14" t="s">
        <v>31</v>
      </c>
      <c r="F15" s="14" t="s">
        <v>30</v>
      </c>
      <c r="I15" s="15"/>
    </row>
    <row r="16" spans="1:9" ht="30" x14ac:dyDescent="0.25">
      <c r="A16" s="7">
        <v>43237</v>
      </c>
      <c r="B16" s="19">
        <f t="shared" si="8"/>
        <v>20</v>
      </c>
      <c r="C16" s="12">
        <v>0.5</v>
      </c>
      <c r="D16" s="13" t="s">
        <v>13</v>
      </c>
      <c r="E16" s="14" t="s">
        <v>29</v>
      </c>
      <c r="F16" s="14"/>
      <c r="I16" s="15"/>
    </row>
    <row r="17" spans="1:9" ht="30" x14ac:dyDescent="0.25">
      <c r="A17" s="7">
        <v>43236</v>
      </c>
      <c r="B17" s="19">
        <f t="shared" si="8"/>
        <v>20</v>
      </c>
      <c r="C17" s="12">
        <v>4</v>
      </c>
      <c r="D17" s="13" t="s">
        <v>7</v>
      </c>
      <c r="E17" s="14" t="s">
        <v>26</v>
      </c>
      <c r="F17" s="14" t="s">
        <v>27</v>
      </c>
      <c r="I17" s="15"/>
    </row>
    <row r="18" spans="1:9" x14ac:dyDescent="0.25">
      <c r="A18" s="7">
        <v>43236</v>
      </c>
      <c r="B18" s="19">
        <f t="shared" si="8"/>
        <v>20</v>
      </c>
      <c r="C18" s="12">
        <v>0.5</v>
      </c>
      <c r="D18" s="13" t="s">
        <v>6</v>
      </c>
      <c r="E18" s="14" t="s">
        <v>28</v>
      </c>
      <c r="F18" s="14"/>
      <c r="I18" s="15"/>
    </row>
    <row r="19" spans="1:9" ht="60" x14ac:dyDescent="0.25">
      <c r="A19" s="7">
        <v>43235</v>
      </c>
      <c r="B19" s="19">
        <f t="shared" ref="B19" si="9">WEEKNUM(A19)</f>
        <v>20</v>
      </c>
      <c r="C19" s="12">
        <v>6</v>
      </c>
      <c r="D19" s="13" t="s">
        <v>7</v>
      </c>
      <c r="E19" s="14" t="s">
        <v>24</v>
      </c>
      <c r="F19" s="14" t="s">
        <v>25</v>
      </c>
      <c r="I19" s="15"/>
    </row>
    <row r="20" spans="1:9" ht="45" x14ac:dyDescent="0.25">
      <c r="A20" s="7">
        <v>43229</v>
      </c>
      <c r="B20" s="19">
        <f t="shared" ref="B20:B28" si="10">WEEKNUM(A20)</f>
        <v>19</v>
      </c>
      <c r="C20" s="12">
        <v>1.5</v>
      </c>
      <c r="D20" s="13" t="s">
        <v>6</v>
      </c>
      <c r="E20" s="14" t="s">
        <v>23</v>
      </c>
      <c r="F20" s="14"/>
      <c r="I20" s="15"/>
    </row>
    <row r="21" spans="1:9" ht="45" x14ac:dyDescent="0.25">
      <c r="A21" s="7">
        <v>43229</v>
      </c>
      <c r="B21" s="19">
        <f t="shared" si="10"/>
        <v>19</v>
      </c>
      <c r="C21" s="12">
        <v>2</v>
      </c>
      <c r="D21" s="13" t="s">
        <v>6</v>
      </c>
      <c r="E21" s="14" t="s">
        <v>22</v>
      </c>
      <c r="F21" s="14"/>
      <c r="I21" s="15"/>
    </row>
    <row r="22" spans="1:9" x14ac:dyDescent="0.25">
      <c r="A22" s="7">
        <v>43229</v>
      </c>
      <c r="B22" s="19">
        <f t="shared" si="10"/>
        <v>19</v>
      </c>
      <c r="C22" s="12">
        <v>1</v>
      </c>
      <c r="D22" s="13" t="s">
        <v>6</v>
      </c>
      <c r="E22" s="14" t="s">
        <v>21</v>
      </c>
      <c r="F22" s="14"/>
      <c r="I22" s="15"/>
    </row>
    <row r="23" spans="1:9" x14ac:dyDescent="0.25">
      <c r="A23" s="7">
        <v>43228</v>
      </c>
      <c r="B23" s="19">
        <f t="shared" si="10"/>
        <v>19</v>
      </c>
      <c r="C23" s="12">
        <v>1.5</v>
      </c>
      <c r="D23" s="13" t="s">
        <v>6</v>
      </c>
      <c r="E23" s="14" t="s">
        <v>20</v>
      </c>
      <c r="F23" s="14"/>
      <c r="I23" s="15"/>
    </row>
    <row r="24" spans="1:9" x14ac:dyDescent="0.25">
      <c r="A24" s="7">
        <v>43228</v>
      </c>
      <c r="B24" s="19">
        <f t="shared" si="10"/>
        <v>19</v>
      </c>
      <c r="C24" s="12">
        <v>0.5</v>
      </c>
      <c r="D24" s="13" t="s">
        <v>13</v>
      </c>
      <c r="E24" s="14" t="s">
        <v>18</v>
      </c>
      <c r="F24" s="14"/>
      <c r="I24" s="15"/>
    </row>
    <row r="25" spans="1:9" x14ac:dyDescent="0.25">
      <c r="A25" s="7">
        <v>43228</v>
      </c>
      <c r="B25" s="19">
        <f t="shared" si="10"/>
        <v>19</v>
      </c>
      <c r="C25" s="12">
        <v>0.5</v>
      </c>
      <c r="D25" s="13" t="s">
        <v>6</v>
      </c>
      <c r="E25" s="14" t="s">
        <v>19</v>
      </c>
      <c r="F25" s="14"/>
      <c r="I25" s="15"/>
    </row>
    <row r="26" spans="1:9" ht="30" x14ac:dyDescent="0.25">
      <c r="A26" s="7">
        <v>43228</v>
      </c>
      <c r="B26" s="19">
        <f t="shared" si="10"/>
        <v>19</v>
      </c>
      <c r="C26" s="12">
        <v>0.5</v>
      </c>
      <c r="D26" s="13" t="s">
        <v>13</v>
      </c>
      <c r="E26" s="14" t="s">
        <v>14</v>
      </c>
      <c r="F26" s="14" t="s">
        <v>15</v>
      </c>
      <c r="I26" s="15"/>
    </row>
    <row r="27" spans="1:9" x14ac:dyDescent="0.25">
      <c r="A27" s="7">
        <v>43228</v>
      </c>
      <c r="B27" s="19">
        <f t="shared" si="10"/>
        <v>19</v>
      </c>
      <c r="C27" s="12">
        <v>2</v>
      </c>
      <c r="D27" s="13" t="s">
        <v>6</v>
      </c>
      <c r="E27" s="14" t="s">
        <v>16</v>
      </c>
      <c r="F27" s="14"/>
      <c r="I27" s="15"/>
    </row>
    <row r="28" spans="1:9" ht="30" x14ac:dyDescent="0.25">
      <c r="A28" s="7">
        <v>43228</v>
      </c>
      <c r="B28" s="19">
        <f t="shared" si="10"/>
        <v>19</v>
      </c>
      <c r="C28" s="12">
        <v>1</v>
      </c>
      <c r="D28" s="13" t="s">
        <v>7</v>
      </c>
      <c r="E28" s="14" t="s">
        <v>17</v>
      </c>
      <c r="F28" s="14"/>
      <c r="I28" s="15"/>
    </row>
    <row r="29" spans="1:9" x14ac:dyDescent="0.25">
      <c r="A29" s="21"/>
    </row>
  </sheetData>
  <sheetProtection selectLockedCells="1"/>
  <sortState ref="A4:F5">
    <sortCondition ref="A4"/>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Paramètres!$A$2:$A$7</xm:f>
          </x14:formula1>
          <xm:sqref>D2:D28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F15"/>
  <sheetViews>
    <sheetView tabSelected="1" workbookViewId="0">
      <selection activeCell="C11" sqref="C11"/>
    </sheetView>
  </sheetViews>
  <sheetFormatPr defaultColWidth="11.42578125" defaultRowHeight="15" x14ac:dyDescent="0.25"/>
  <cols>
    <col min="1" max="1" width="20" bestFit="1" customWidth="1"/>
    <col min="2" max="2" width="14.85546875" bestFit="1" customWidth="1"/>
    <col min="3" max="3" width="15.5703125" bestFit="1" customWidth="1"/>
    <col min="4" max="4" width="8" bestFit="1" customWidth="1"/>
    <col min="5" max="5" width="8.5703125" bestFit="1" customWidth="1"/>
    <col min="6" max="6" width="11.28515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12</v>
      </c>
    </row>
    <row r="4" spans="1:6" x14ac:dyDescent="0.25">
      <c r="B4" t="s">
        <v>9</v>
      </c>
      <c r="C4" t="s">
        <v>7</v>
      </c>
      <c r="D4" t="s">
        <v>6</v>
      </c>
      <c r="E4" t="s">
        <v>13</v>
      </c>
      <c r="F4" t="s">
        <v>49</v>
      </c>
    </row>
    <row r="5" spans="1:6" x14ac:dyDescent="0.25">
      <c r="A5" s="5">
        <v>43242</v>
      </c>
      <c r="B5" s="3"/>
      <c r="C5" s="3">
        <v>2</v>
      </c>
      <c r="D5" s="3">
        <v>3.5</v>
      </c>
      <c r="E5" s="3">
        <v>0.5</v>
      </c>
      <c r="F5" s="3">
        <v>6</v>
      </c>
    </row>
    <row r="6" spans="1:6" x14ac:dyDescent="0.25">
      <c r="A6" s="5">
        <v>43237</v>
      </c>
      <c r="B6" s="3"/>
      <c r="C6" s="3">
        <v>6.25</v>
      </c>
      <c r="D6" s="3"/>
      <c r="E6" s="3">
        <v>0.5</v>
      </c>
      <c r="F6" s="3">
        <v>6.75</v>
      </c>
    </row>
    <row r="7" spans="1:6" x14ac:dyDescent="0.25">
      <c r="A7" s="5">
        <v>43236</v>
      </c>
      <c r="B7" s="3"/>
      <c r="C7" s="3">
        <v>4</v>
      </c>
      <c r="D7" s="3">
        <v>0.5</v>
      </c>
      <c r="E7" s="3"/>
      <c r="F7" s="3">
        <v>4.5</v>
      </c>
    </row>
    <row r="8" spans="1:6" x14ac:dyDescent="0.25">
      <c r="A8" s="5">
        <v>43235</v>
      </c>
      <c r="B8" s="3"/>
      <c r="C8" s="3">
        <v>6</v>
      </c>
      <c r="D8" s="3"/>
      <c r="E8" s="3"/>
      <c r="F8" s="3">
        <v>6</v>
      </c>
    </row>
    <row r="9" spans="1:6" x14ac:dyDescent="0.25">
      <c r="A9" s="5">
        <v>43229</v>
      </c>
      <c r="B9" s="3"/>
      <c r="C9" s="3"/>
      <c r="D9" s="3">
        <v>4.5</v>
      </c>
      <c r="E9" s="3"/>
      <c r="F9" s="3">
        <v>4.5</v>
      </c>
    </row>
    <row r="10" spans="1:6" x14ac:dyDescent="0.25">
      <c r="A10" s="5">
        <v>43228</v>
      </c>
      <c r="B10" s="3"/>
      <c r="C10" s="3">
        <v>1</v>
      </c>
      <c r="D10" s="3">
        <v>4</v>
      </c>
      <c r="E10" s="3">
        <v>1</v>
      </c>
      <c r="F10" s="3">
        <v>6</v>
      </c>
    </row>
    <row r="11" spans="1:6" x14ac:dyDescent="0.25">
      <c r="A11" s="5">
        <v>43238</v>
      </c>
      <c r="B11" s="3"/>
      <c r="C11" s="3">
        <v>5.25</v>
      </c>
      <c r="D11" s="3"/>
      <c r="E11" s="3"/>
      <c r="F11" s="3">
        <v>5.25</v>
      </c>
    </row>
    <row r="12" spans="1:6" x14ac:dyDescent="0.25">
      <c r="A12" s="5">
        <v>43245</v>
      </c>
      <c r="B12" s="3">
        <v>3</v>
      </c>
      <c r="C12" s="3">
        <v>1.75</v>
      </c>
      <c r="D12" s="3">
        <v>0.5</v>
      </c>
      <c r="E12" s="3"/>
      <c r="F12" s="3">
        <v>5.25</v>
      </c>
    </row>
    <row r="13" spans="1:6" x14ac:dyDescent="0.25">
      <c r="A13" s="5">
        <v>43244</v>
      </c>
      <c r="B13" s="3">
        <v>1.25</v>
      </c>
      <c r="C13" s="3">
        <v>5</v>
      </c>
      <c r="D13" s="3"/>
      <c r="E13" s="3">
        <v>0.5</v>
      </c>
      <c r="F13" s="3">
        <v>6.75</v>
      </c>
    </row>
    <row r="14" spans="1:6" x14ac:dyDescent="0.25">
      <c r="A14" s="5">
        <v>43243</v>
      </c>
      <c r="B14" s="3">
        <v>0.5</v>
      </c>
      <c r="C14" s="3">
        <v>4</v>
      </c>
      <c r="D14" s="3"/>
      <c r="E14" s="3"/>
      <c r="F14" s="3">
        <v>4.5</v>
      </c>
    </row>
    <row r="15" spans="1:6" x14ac:dyDescent="0.25">
      <c r="A15" s="5" t="s">
        <v>49</v>
      </c>
      <c r="B15" s="3">
        <v>4.75</v>
      </c>
      <c r="C15" s="3">
        <v>35.25</v>
      </c>
      <c r="D15" s="3">
        <v>13</v>
      </c>
      <c r="E15" s="3">
        <v>2.5</v>
      </c>
      <c r="F15" s="3">
        <v>55.5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A2" sqref="A2"/>
    </sheetView>
  </sheetViews>
  <sheetFormatPr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13</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2018-05-25T15:26:51Z</dcterms:modified>
</cp:coreProperties>
</file>