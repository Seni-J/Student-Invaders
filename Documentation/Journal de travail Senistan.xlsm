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4"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c r="B10" i="1"/>
  <c r="B11" i="1"/>
  <c r="B12" i="1"/>
  <c r="B13" i="1"/>
  <c r="B14" i="1"/>
  <c r="B17" i="1"/>
  <c r="B16" i="1"/>
  <c r="B15" i="1"/>
  <c r="B18" i="1"/>
  <c r="B19" i="1"/>
  <c r="B20" i="1"/>
  <c r="B21" i="1"/>
  <c r="B22" i="1"/>
  <c r="B23" i="1"/>
  <c r="B24" i="1"/>
  <c r="B25" i="1"/>
  <c r="B26" i="1"/>
  <c r="B27" i="1"/>
</calcChain>
</file>

<file path=xl/sharedStrings.xml><?xml version="1.0" encoding="utf-8"?>
<sst xmlns="http://schemas.openxmlformats.org/spreadsheetml/2006/main" count="80" uniqueCount="49">
  <si>
    <t>Description</t>
  </si>
  <si>
    <t>Remarques/problèmes</t>
  </si>
  <si>
    <t>Jour</t>
  </si>
  <si>
    <t>Temps [h]</t>
  </si>
  <si>
    <t>Type</t>
  </si>
  <si>
    <t>Types de tâches</t>
  </si>
  <si>
    <t>Analyse</t>
  </si>
  <si>
    <t>Implémentation</t>
  </si>
  <si>
    <t>Tests</t>
  </si>
  <si>
    <t>Documentation</t>
  </si>
  <si>
    <t>Absence</t>
  </si>
  <si>
    <t>Total général</t>
  </si>
  <si>
    <t>Semaine</t>
  </si>
  <si>
    <t>Somme de Temps [h]</t>
  </si>
  <si>
    <t>Meeting</t>
  </si>
  <si>
    <t>Meeting avec Mr. Carrel et Mikel pour répondre à différentes questions sur le projet.</t>
  </si>
  <si>
    <t xml:space="preserve">Remarque: Mikel est un camarde de classe qui a le même projet que moi mais sous iPhone. </t>
  </si>
  <si>
    <t>Mise en place de la la planification initiale.</t>
  </si>
  <si>
    <t>Création du tableau Trello, préparation des questions pour le chef de projet, création du repository Github.</t>
  </si>
  <si>
    <t>Vérification de la planification initiale avec le chef de projet ainsi que les use-cases.</t>
  </si>
  <si>
    <t>Création des use-cases.</t>
  </si>
  <si>
    <t>Ecriture de la documentation "Introduction" et "Objectifs".</t>
  </si>
  <si>
    <t>J'ai commencé à faire les maquettes pour le jeu.</t>
  </si>
  <si>
    <t>J'avais besoin de créer des sprites pour les placer sur les maquettes. J'ai donc les sprites suivants pour mon projet: "Prof", "Elève", "Avion en papier" et "Porte". Cependant, certains sprites ne sont pas utilisés dans la maquette.</t>
  </si>
  <si>
    <t>Mise à jour du README sur Github. J'ai aussi crée le projet avec le framework LibGDX. J'ai rédigé la partie "Planification initiale" ainsi que la mise en place des maquettes dans le document.</t>
  </si>
  <si>
    <t>J'ai modifié le sprite de l'élève. J'ai commencé à faire le menu pour le jeu. J'ai regardé différents tutoriels que ça soit écrit ou en vidéo. J'ai même utilisé un livre. Le menu avance mais je rencontre quelques soucis au cours de l'implémentation.</t>
  </si>
  <si>
    <t>J'ai eu quelques problèmes avec le code concernant le tactile. Dans le menu, quand on doit appuyer sur le bouton "Jouer", il ne passait pas à la scène suivante. J'ai mis du temps avant de trouver du code fonctionnel. Cependant un autre problème risque d'intervenir demain avec l'implémentation du glisser.</t>
  </si>
  <si>
    <t xml:space="preserve">J'ai principalement travaillé sur le menu et la séléction des langues. J'ai pu implémenter la fonction de glissade des langues et ainsi choisir la langue sur la personne désirée.  </t>
  </si>
  <si>
    <t>Le code n'est pas tout à fait au point mais cela risque de changer dans le futur avec l'ajout du Webservice pour le choix des vocs.</t>
  </si>
  <si>
    <t>Création des scénarios pour la maquette "sélection des langues".</t>
  </si>
  <si>
    <t>Démo du sprint à Mr.Carrel qui est satisfait du travail. Le sprint suivant a été modifié afin de reprendre des tâches non complètes.</t>
  </si>
  <si>
    <t>J'ai des soucis concernant l'affichage des vocabulaires après avoir choisi les langues. Il faut que je pose la question à un prof car c'est un problème assez technique que je n'ai pas encore réussi à régler.</t>
  </si>
  <si>
    <t>Suite à la démo, Mr. Carrel m'a fourni quelques données à utiliser pour le projet. J'ai dû modifier une grande partie de mon code  concernant la sélection des langues pour inclure ces données. J'ai aussi corrigé quelques soucis dans le code qui posait problème.</t>
  </si>
  <si>
    <t>J'ai travaillé sur la sélection des langues pour ajouter le vocabulaire. Quelques soucis persistent mais je les réglerai plus tard.</t>
  </si>
  <si>
    <t>Des soucis que je dois voir avec mon chef de projet comme réinitialiser la sélection ou changer de vocabulaire courant.</t>
  </si>
  <si>
    <t>J'ai travaillé sur la partie de la scène du jeu. J'ai aussi commencé à implémenter la classe concernant le professeur. J'ai écris quelques scénarios sur papier que je n'ai pas retranscrit dans ma documentation. A faire la semaine prochaine.</t>
  </si>
  <si>
    <t>Visite de l'expert Mr. Tièche pour voir l'avancement du projet. Il m'a donné quelques conseils concernant le journal de travail, la documentation ainsi que les commentaires du code.</t>
  </si>
  <si>
    <t>J'ai implémenté la fonction de mouvement pour le professeur. J'ai aussi affiché les blocs pour que les mots soient écris dessus.</t>
  </si>
  <si>
    <t xml:space="preserve">J'ai quelques questions pour mon chef de projet concernant l'affichage des mots sur les "pancartes". </t>
  </si>
  <si>
    <t>J'ai crée le MCD pour le projet. J'attends la validation de Mr. Carrel pour le mettre dans le document. J'ai fait la partie "Vue d'ensemble" de la documentation. J'ai aussi écris les différents scénarios possibles pour le prof.</t>
  </si>
  <si>
    <t>J'ai mis à jour le MCD dans la documentation et j'ai demandé à Mr. Carrel si c'était tout bon pour lui.</t>
  </si>
  <si>
    <t>J'ai pu voir Mr. Carrel pour lui poser les questions sur l'affichage des mots sur les boxes. J'ai quelques soucis concernant le code car je n'arrive pas très bien à visualiser comment implémenter ceci. J'ai posé quelques questions à Mr. Carrel par email et j'ai ensuite demandé de l'aide à Stuart s'il avait aussi une autre solution pour approcher le problème.</t>
  </si>
  <si>
    <t>Le problème n'étant toujours pas réglé, je vais voir cela demain durant la démo.</t>
  </si>
  <si>
    <t>Sprint Review du Sprint No 2, Le professeur. Quelques erreurs subsitent et deux objectifs du sprint n'ont pas été implémentés.</t>
  </si>
  <si>
    <t>Une démo est prévue pour les deux objectifs manquants.</t>
  </si>
  <si>
    <t>J'ai repris la documentation pour faire la stratégie de test. J'ai aussi complété la partie planification.</t>
  </si>
  <si>
    <t>J'ai pu mettre en place les mots. Après avoir implémenté ceci, j'ai commencé à coder les mots à prendre et la fabrication de l'avion. J'ai fini de mettre en place les deux objectifs, il ne reste plus que quelques détails pour paufiner le tout.</t>
  </si>
  <si>
    <t>J'ai écris la particularité après l'avoir regardé avec Mr. Carrel. J'ai complété la partie stratégie
 de test ainsi que le journal de bord.</t>
  </si>
  <si>
    <t>J'ai discuté avec Mr. Carrel pour l'affichage des boîtes avec les mots pour le prof.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</si>
</sst>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0" fillId="0" borderId="0" xfId="0" applyAlignment="1" applyProtection="1">
      <alignment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45.626395023151" createdVersion="4" refreshedVersion="6" minRefreshableVersion="3" recordCount="25">
  <cacheSource type="worksheet">
    <worksheetSource ref="A1:D27" sheet="Journal"/>
  </cacheSource>
  <cacheFields count="4">
    <cacheField name="Jour" numFmtId="16">
      <sharedItems containsSemiMixedTypes="0" containsNonDate="0" containsDate="1" containsString="0" minDate="2018-01-01T00:00:00" maxDate="2018-05-26T00:00:00" count="11">
        <d v="2018-05-25T00:00:00"/>
        <d v="2018-05-24T00:00:00"/>
        <d v="2018-05-23T00:00:00"/>
        <d v="2018-05-22T00:00:00"/>
        <d v="2018-05-18T00:00:00"/>
        <d v="2018-05-17T00:00:00"/>
        <d v="2018-05-16T00:00:00"/>
        <d v="2018-05-15T00:00:00"/>
        <d v="2018-05-09T00:00:00"/>
        <d v="2018-05-08T00:00:00"/>
        <d v="2018-01-01T00:00:00" u="1"/>
      </sharedItems>
    </cacheField>
    <cacheField name="Semaine" numFmtId="1">
      <sharedItems containsSemiMixedTypes="0" containsString="0" containsNumber="1" containsInteger="1" minValue="19" maxValue="21"/>
    </cacheField>
    <cacheField name="Temps [h]" numFmtId="2">
      <sharedItems containsSemiMixedTypes="0" containsString="0" containsNumber="1" minValue="0.5" maxValue="6.25"/>
    </cacheField>
    <cacheField name="Type" numFmtId="0">
      <sharedItems count="5">
        <s v="Documentation"/>
        <s v="Implémentation"/>
        <s v="Meeting"/>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5">
  <r>
    <x v="0"/>
    <n v="21"/>
    <n v="1.25"/>
    <x v="0"/>
  </r>
  <r>
    <x v="1"/>
    <n v="21"/>
    <n v="1.25"/>
    <x v="0"/>
  </r>
  <r>
    <x v="1"/>
    <n v="21"/>
    <n v="5"/>
    <x v="1"/>
  </r>
  <r>
    <x v="1"/>
    <n v="21"/>
    <n v="0.5"/>
    <x v="2"/>
  </r>
  <r>
    <x v="2"/>
    <n v="21"/>
    <n v="4"/>
    <x v="1"/>
  </r>
  <r>
    <x v="2"/>
    <n v="21"/>
    <n v="0.5"/>
    <x v="0"/>
  </r>
  <r>
    <x v="3"/>
    <n v="21"/>
    <n v="2"/>
    <x v="1"/>
  </r>
  <r>
    <x v="3"/>
    <n v="21"/>
    <n v="3.5"/>
    <x v="3"/>
  </r>
  <r>
    <x v="3"/>
    <n v="21"/>
    <n v="0.5"/>
    <x v="2"/>
  </r>
  <r>
    <x v="4"/>
    <n v="20"/>
    <n v="1.25"/>
    <x v="1"/>
  </r>
  <r>
    <x v="4"/>
    <n v="20"/>
    <n v="4"/>
    <x v="1"/>
  </r>
  <r>
    <x v="5"/>
    <n v="20"/>
    <n v="6.25"/>
    <x v="1"/>
  </r>
  <r>
    <x v="5"/>
    <n v="20"/>
    <n v="0.5"/>
    <x v="2"/>
  </r>
  <r>
    <x v="6"/>
    <n v="20"/>
    <n v="4"/>
    <x v="1"/>
  </r>
  <r>
    <x v="6"/>
    <n v="20"/>
    <n v="0.5"/>
    <x v="3"/>
  </r>
  <r>
    <x v="7"/>
    <n v="20"/>
    <n v="6"/>
    <x v="1"/>
  </r>
  <r>
    <x v="8"/>
    <n v="19"/>
    <n v="1.5"/>
    <x v="3"/>
  </r>
  <r>
    <x v="8"/>
    <n v="19"/>
    <n v="2"/>
    <x v="3"/>
  </r>
  <r>
    <x v="8"/>
    <n v="19"/>
    <n v="1"/>
    <x v="3"/>
  </r>
  <r>
    <x v="9"/>
    <n v="19"/>
    <n v="1.5"/>
    <x v="3"/>
  </r>
  <r>
    <x v="9"/>
    <n v="19"/>
    <n v="0.5"/>
    <x v="2"/>
  </r>
  <r>
    <x v="9"/>
    <n v="19"/>
    <n v="0.5"/>
    <x v="3"/>
  </r>
  <r>
    <x v="9"/>
    <n v="19"/>
    <n v="0.5"/>
    <x v="2"/>
  </r>
  <r>
    <x v="9"/>
    <n v="19"/>
    <n v="2"/>
    <x v="3"/>
  </r>
  <r>
    <x v="9"/>
    <n v="19"/>
    <n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4"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F15" firstHeaderRow="1" firstDataRow="2" firstDataCol="1"/>
  <pivotFields count="4">
    <pivotField axis="axisRow" numFmtId="16" showAll="0">
      <items count="12">
        <item m="1" x="10"/>
        <item x="3"/>
        <item x="5"/>
        <item x="6"/>
        <item x="7"/>
        <item x="8"/>
        <item x="9"/>
        <item x="4"/>
        <item x="0"/>
        <item x="1"/>
        <item x="2"/>
        <item t="default"/>
      </items>
    </pivotField>
    <pivotField showAll="0"/>
    <pivotField dataField="1" showAll="0"/>
    <pivotField axis="axisCol" showAll="0">
      <items count="6">
        <item x="0"/>
        <item x="1"/>
        <item x="3"/>
        <item m="1" x="4"/>
        <item x="2"/>
        <item t="default"/>
      </items>
    </pivotField>
  </pivotFields>
  <rowFields count="1">
    <field x="0"/>
  </rowFields>
  <rowItems count="11">
    <i>
      <x v="1"/>
    </i>
    <i>
      <x v="2"/>
    </i>
    <i>
      <x v="3"/>
    </i>
    <i>
      <x v="4"/>
    </i>
    <i>
      <x v="5"/>
    </i>
    <i>
      <x v="6"/>
    </i>
    <i>
      <x v="7"/>
    </i>
    <i>
      <x v="8"/>
    </i>
    <i>
      <x v="9"/>
    </i>
    <i>
      <x v="10"/>
    </i>
    <i t="grand">
      <x/>
    </i>
  </rowItems>
  <colFields count="1">
    <field x="3"/>
  </colFields>
  <colItems count="5">
    <i>
      <x/>
    </i>
    <i>
      <x v="1"/>
    </i>
    <i>
      <x v="2"/>
    </i>
    <i>
      <x v="4"/>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28"/>
  <sheetViews>
    <sheetView tabSelected="1" workbookViewId="0">
      <selection activeCell="E3" sqref="E3"/>
    </sheetView>
  </sheetViews>
  <sheetFormatPr baseColWidth="10" defaultColWidth="9.140625" defaultRowHeight="15" x14ac:dyDescent="0.25"/>
  <cols>
    <col min="1" max="1" width="6.85546875" style="8" bestFit="1" customWidth="1"/>
    <col min="2" max="2" width="9.28515625" style="20" bestFit="1" customWidth="1"/>
    <col min="3" max="3" width="10.5703125" style="16" bestFit="1" customWidth="1"/>
    <col min="4" max="4" width="15.4257812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v>43245</v>
      </c>
      <c r="B2" s="19">
        <f t="shared" ref="B2" si="0">WEEKNUM(A2)</f>
        <v>21</v>
      </c>
      <c r="C2" s="12">
        <v>2</v>
      </c>
      <c r="D2" s="13" t="s">
        <v>7</v>
      </c>
      <c r="E2" s="22" t="s">
        <v>48</v>
      </c>
      <c r="F2" s="14"/>
      <c r="I2" s="15"/>
    </row>
    <row r="3" spans="1:9" ht="30" x14ac:dyDescent="0.25">
      <c r="A3" s="7">
        <v>43245</v>
      </c>
      <c r="B3" s="19">
        <f t="shared" ref="B3" si="1">WEEKNUM(A3)</f>
        <v>21</v>
      </c>
      <c r="C3" s="12">
        <v>2</v>
      </c>
      <c r="D3" s="13" t="s">
        <v>9</v>
      </c>
      <c r="E3" s="22" t="s">
        <v>47</v>
      </c>
      <c r="F3" s="14"/>
      <c r="I3" s="15"/>
    </row>
    <row r="4" spans="1:9" ht="30" x14ac:dyDescent="0.25">
      <c r="A4" s="7">
        <v>43244</v>
      </c>
      <c r="B4" s="19">
        <f t="shared" ref="B4" si="2">WEEKNUM(A4)</f>
        <v>21</v>
      </c>
      <c r="C4" s="12">
        <v>1.25</v>
      </c>
      <c r="D4" s="13" t="s">
        <v>9</v>
      </c>
      <c r="E4" s="14" t="s">
        <v>45</v>
      </c>
      <c r="F4" s="14"/>
      <c r="I4" s="15"/>
    </row>
    <row r="5" spans="1:9" ht="45" x14ac:dyDescent="0.25">
      <c r="A5" s="7">
        <v>43244</v>
      </c>
      <c r="B5" s="19">
        <f t="shared" ref="B5" si="3">WEEKNUM(A5)</f>
        <v>21</v>
      </c>
      <c r="C5" s="12">
        <v>5</v>
      </c>
      <c r="D5" s="13" t="s">
        <v>7</v>
      </c>
      <c r="E5" s="14" t="s">
        <v>46</v>
      </c>
      <c r="F5" s="14"/>
      <c r="I5" s="15"/>
    </row>
    <row r="6" spans="1:9" ht="30" x14ac:dyDescent="0.25">
      <c r="A6" s="7">
        <v>43244</v>
      </c>
      <c r="B6" s="19">
        <f t="shared" ref="B6" si="4">WEEKNUM(A6)</f>
        <v>21</v>
      </c>
      <c r="C6" s="12">
        <v>0.5</v>
      </c>
      <c r="D6" s="13" t="s">
        <v>14</v>
      </c>
      <c r="E6" s="14" t="s">
        <v>43</v>
      </c>
      <c r="F6" s="14" t="s">
        <v>44</v>
      </c>
      <c r="I6" s="15"/>
    </row>
    <row r="7" spans="1:9" ht="60" x14ac:dyDescent="0.25">
      <c r="A7" s="7">
        <v>43243</v>
      </c>
      <c r="B7" s="19">
        <f t="shared" ref="B7" si="5">WEEKNUM(A7)</f>
        <v>21</v>
      </c>
      <c r="C7" s="12">
        <v>4</v>
      </c>
      <c r="D7" s="13" t="s">
        <v>7</v>
      </c>
      <c r="E7" s="14" t="s">
        <v>41</v>
      </c>
      <c r="F7" s="14" t="s">
        <v>42</v>
      </c>
      <c r="I7" s="15"/>
    </row>
    <row r="8" spans="1:9" ht="30" x14ac:dyDescent="0.25">
      <c r="A8" s="7">
        <v>43243</v>
      </c>
      <c r="B8" s="19">
        <f t="shared" ref="B8" si="6">WEEKNUM(A8)</f>
        <v>21</v>
      </c>
      <c r="C8" s="12">
        <v>0.5</v>
      </c>
      <c r="D8" s="13" t="s">
        <v>9</v>
      </c>
      <c r="E8" s="14" t="s">
        <v>40</v>
      </c>
      <c r="F8" s="14"/>
      <c r="I8" s="15"/>
    </row>
    <row r="9" spans="1:9" ht="30" x14ac:dyDescent="0.25">
      <c r="A9" s="7">
        <v>43242</v>
      </c>
      <c r="B9" s="19">
        <f t="shared" ref="B9:B17" si="7">WEEKNUM(A9)</f>
        <v>21</v>
      </c>
      <c r="C9" s="12">
        <v>2</v>
      </c>
      <c r="D9" s="13" t="s">
        <v>7</v>
      </c>
      <c r="E9" s="14" t="s">
        <v>37</v>
      </c>
      <c r="F9" s="14" t="s">
        <v>38</v>
      </c>
      <c r="I9" s="15"/>
    </row>
    <row r="10" spans="1:9" ht="45" x14ac:dyDescent="0.25">
      <c r="A10" s="7">
        <v>43242</v>
      </c>
      <c r="B10" s="19">
        <f t="shared" si="7"/>
        <v>21</v>
      </c>
      <c r="C10" s="12">
        <v>3.5</v>
      </c>
      <c r="D10" s="13" t="s">
        <v>6</v>
      </c>
      <c r="E10" s="14" t="s">
        <v>39</v>
      </c>
      <c r="F10" s="14"/>
      <c r="I10" s="15"/>
    </row>
    <row r="11" spans="1:9" ht="45" x14ac:dyDescent="0.25">
      <c r="A11" s="7">
        <v>43242</v>
      </c>
      <c r="B11" s="19">
        <f t="shared" si="7"/>
        <v>21</v>
      </c>
      <c r="C11" s="12">
        <v>0.5</v>
      </c>
      <c r="D11" s="13" t="s">
        <v>14</v>
      </c>
      <c r="E11" s="14" t="s">
        <v>36</v>
      </c>
      <c r="F11" s="14"/>
      <c r="I11" s="15"/>
    </row>
    <row r="12" spans="1:9" ht="45" x14ac:dyDescent="0.25">
      <c r="A12" s="7">
        <v>43238</v>
      </c>
      <c r="B12" s="19">
        <f t="shared" si="7"/>
        <v>20</v>
      </c>
      <c r="C12" s="12">
        <v>1.25</v>
      </c>
      <c r="D12" s="13" t="s">
        <v>7</v>
      </c>
      <c r="E12" s="14" t="s">
        <v>35</v>
      </c>
      <c r="F12" s="14"/>
      <c r="I12" s="15"/>
    </row>
    <row r="13" spans="1:9" ht="30" x14ac:dyDescent="0.25">
      <c r="A13" s="7">
        <v>43238</v>
      </c>
      <c r="B13" s="19">
        <f t="shared" si="7"/>
        <v>20</v>
      </c>
      <c r="C13" s="12">
        <v>4</v>
      </c>
      <c r="D13" s="13" t="s">
        <v>7</v>
      </c>
      <c r="E13" s="14" t="s">
        <v>33</v>
      </c>
      <c r="F13" s="14" t="s">
        <v>34</v>
      </c>
      <c r="I13" s="15"/>
    </row>
    <row r="14" spans="1:9" ht="45" x14ac:dyDescent="0.25">
      <c r="A14" s="7">
        <v>43237</v>
      </c>
      <c r="B14" s="19">
        <f t="shared" si="7"/>
        <v>20</v>
      </c>
      <c r="C14" s="12">
        <v>6.25</v>
      </c>
      <c r="D14" s="13" t="s">
        <v>7</v>
      </c>
      <c r="E14" s="14" t="s">
        <v>32</v>
      </c>
      <c r="F14" s="14" t="s">
        <v>31</v>
      </c>
      <c r="I14" s="15"/>
    </row>
    <row r="15" spans="1:9" ht="30" x14ac:dyDescent="0.25">
      <c r="A15" s="7">
        <v>43237</v>
      </c>
      <c r="B15" s="19">
        <f t="shared" si="7"/>
        <v>20</v>
      </c>
      <c r="C15" s="12">
        <v>0.5</v>
      </c>
      <c r="D15" s="13" t="s">
        <v>14</v>
      </c>
      <c r="E15" s="14" t="s">
        <v>30</v>
      </c>
      <c r="F15" s="14"/>
      <c r="I15" s="15"/>
    </row>
    <row r="16" spans="1:9" ht="30" x14ac:dyDescent="0.25">
      <c r="A16" s="7">
        <v>43236</v>
      </c>
      <c r="B16" s="19">
        <f t="shared" si="7"/>
        <v>20</v>
      </c>
      <c r="C16" s="12">
        <v>4</v>
      </c>
      <c r="D16" s="13" t="s">
        <v>7</v>
      </c>
      <c r="E16" s="14" t="s">
        <v>27</v>
      </c>
      <c r="F16" s="14" t="s">
        <v>28</v>
      </c>
      <c r="I16" s="15"/>
    </row>
    <row r="17" spans="1:9" x14ac:dyDescent="0.25">
      <c r="A17" s="7">
        <v>43236</v>
      </c>
      <c r="B17" s="19">
        <f t="shared" si="7"/>
        <v>20</v>
      </c>
      <c r="C17" s="12">
        <v>0.5</v>
      </c>
      <c r="D17" s="13" t="s">
        <v>6</v>
      </c>
      <c r="E17" s="14" t="s">
        <v>29</v>
      </c>
      <c r="F17" s="14"/>
      <c r="I17" s="15"/>
    </row>
    <row r="18" spans="1:9" ht="60" x14ac:dyDescent="0.25">
      <c r="A18" s="7">
        <v>43235</v>
      </c>
      <c r="B18" s="19">
        <f t="shared" ref="B18" si="8">WEEKNUM(A18)</f>
        <v>20</v>
      </c>
      <c r="C18" s="12">
        <v>6</v>
      </c>
      <c r="D18" s="13" t="s">
        <v>7</v>
      </c>
      <c r="E18" s="14" t="s">
        <v>25</v>
      </c>
      <c r="F18" s="14" t="s">
        <v>26</v>
      </c>
      <c r="I18" s="15"/>
    </row>
    <row r="19" spans="1:9" ht="45" x14ac:dyDescent="0.25">
      <c r="A19" s="7">
        <v>43229</v>
      </c>
      <c r="B19" s="19">
        <f t="shared" ref="B19:B27" si="9">WEEKNUM(A19)</f>
        <v>19</v>
      </c>
      <c r="C19" s="12">
        <v>1.5</v>
      </c>
      <c r="D19" s="13" t="s">
        <v>6</v>
      </c>
      <c r="E19" s="14" t="s">
        <v>24</v>
      </c>
      <c r="F19" s="14"/>
      <c r="I19" s="15"/>
    </row>
    <row r="20" spans="1:9" ht="45" x14ac:dyDescent="0.25">
      <c r="A20" s="7">
        <v>43229</v>
      </c>
      <c r="B20" s="19">
        <f t="shared" si="9"/>
        <v>19</v>
      </c>
      <c r="C20" s="12">
        <v>2</v>
      </c>
      <c r="D20" s="13" t="s">
        <v>6</v>
      </c>
      <c r="E20" s="14" t="s">
        <v>23</v>
      </c>
      <c r="F20" s="14"/>
      <c r="I20" s="15"/>
    </row>
    <row r="21" spans="1:9" x14ac:dyDescent="0.25">
      <c r="A21" s="7">
        <v>43229</v>
      </c>
      <c r="B21" s="19">
        <f t="shared" si="9"/>
        <v>19</v>
      </c>
      <c r="C21" s="12">
        <v>1</v>
      </c>
      <c r="D21" s="13" t="s">
        <v>6</v>
      </c>
      <c r="E21" s="14" t="s">
        <v>22</v>
      </c>
      <c r="F21" s="14"/>
      <c r="I21" s="15"/>
    </row>
    <row r="22" spans="1:9" x14ac:dyDescent="0.25">
      <c r="A22" s="7">
        <v>43228</v>
      </c>
      <c r="B22" s="19">
        <f t="shared" si="9"/>
        <v>19</v>
      </c>
      <c r="C22" s="12">
        <v>1.5</v>
      </c>
      <c r="D22" s="13" t="s">
        <v>6</v>
      </c>
      <c r="E22" s="14" t="s">
        <v>21</v>
      </c>
      <c r="F22" s="14"/>
      <c r="I22" s="15"/>
    </row>
    <row r="23" spans="1:9" x14ac:dyDescent="0.25">
      <c r="A23" s="7">
        <v>43228</v>
      </c>
      <c r="B23" s="19">
        <f t="shared" si="9"/>
        <v>19</v>
      </c>
      <c r="C23" s="12">
        <v>0.5</v>
      </c>
      <c r="D23" s="13" t="s">
        <v>14</v>
      </c>
      <c r="E23" s="14" t="s">
        <v>19</v>
      </c>
      <c r="F23" s="14"/>
      <c r="I23" s="15"/>
    </row>
    <row r="24" spans="1:9" x14ac:dyDescent="0.25">
      <c r="A24" s="7">
        <v>43228</v>
      </c>
      <c r="B24" s="19">
        <f t="shared" si="9"/>
        <v>19</v>
      </c>
      <c r="C24" s="12">
        <v>0.5</v>
      </c>
      <c r="D24" s="13" t="s">
        <v>6</v>
      </c>
      <c r="E24" s="14" t="s">
        <v>20</v>
      </c>
      <c r="F24" s="14"/>
      <c r="I24" s="15"/>
    </row>
    <row r="25" spans="1:9" ht="30" x14ac:dyDescent="0.25">
      <c r="A25" s="7">
        <v>43228</v>
      </c>
      <c r="B25" s="19">
        <f t="shared" si="9"/>
        <v>19</v>
      </c>
      <c r="C25" s="12">
        <v>0.5</v>
      </c>
      <c r="D25" s="13" t="s">
        <v>14</v>
      </c>
      <c r="E25" s="14" t="s">
        <v>15</v>
      </c>
      <c r="F25" s="14" t="s">
        <v>16</v>
      </c>
      <c r="I25" s="15"/>
    </row>
    <row r="26" spans="1:9" x14ac:dyDescent="0.25">
      <c r="A26" s="7">
        <v>43228</v>
      </c>
      <c r="B26" s="19">
        <f t="shared" si="9"/>
        <v>19</v>
      </c>
      <c r="C26" s="12">
        <v>2</v>
      </c>
      <c r="D26" s="13" t="s">
        <v>6</v>
      </c>
      <c r="E26" s="14" t="s">
        <v>17</v>
      </c>
      <c r="F26" s="14"/>
      <c r="I26" s="15"/>
    </row>
    <row r="27" spans="1:9" ht="30" x14ac:dyDescent="0.25">
      <c r="A27" s="7">
        <v>43228</v>
      </c>
      <c r="B27" s="19">
        <f t="shared" si="9"/>
        <v>19</v>
      </c>
      <c r="C27" s="12">
        <v>1</v>
      </c>
      <c r="D27" s="13" t="s">
        <v>7</v>
      </c>
      <c r="E27" s="14" t="s">
        <v>18</v>
      </c>
      <c r="F27" s="14"/>
      <c r="I27" s="15"/>
    </row>
    <row r="28" spans="1:9" x14ac:dyDescent="0.25">
      <c r="A28" s="21"/>
    </row>
  </sheetData>
  <sheetProtection selectLockedCells="1"/>
  <sortState ref="A3:F4">
    <sortCondition ref="A3"/>
  </sortState>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D2:D27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F15"/>
  <sheetViews>
    <sheetView workbookViewId="0">
      <selection activeCell="E6" sqref="E6"/>
    </sheetView>
  </sheetViews>
  <sheetFormatPr baseColWidth="10" defaultColWidth="11.42578125" defaultRowHeight="15" x14ac:dyDescent="0.25"/>
  <cols>
    <col min="1" max="1" width="19.85546875" bestFit="1" customWidth="1"/>
    <col min="2" max="2" width="14.7109375" bestFit="1" customWidth="1"/>
    <col min="3" max="3" width="15.42578125" bestFit="1" customWidth="1"/>
    <col min="4" max="4" width="8" bestFit="1" customWidth="1"/>
    <col min="5" max="5" width="8.5703125" bestFit="1" customWidth="1"/>
    <col min="6" max="6" width="12.57031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6" x14ac:dyDescent="0.25">
      <c r="A3" s="4" t="s">
        <v>13</v>
      </c>
    </row>
    <row r="4" spans="1:6" x14ac:dyDescent="0.25">
      <c r="B4" t="s">
        <v>9</v>
      </c>
      <c r="C4" t="s">
        <v>7</v>
      </c>
      <c r="D4" t="s">
        <v>6</v>
      </c>
      <c r="E4" t="s">
        <v>14</v>
      </c>
      <c r="F4" t="s">
        <v>11</v>
      </c>
    </row>
    <row r="5" spans="1:6" x14ac:dyDescent="0.25">
      <c r="A5" s="5">
        <v>43242</v>
      </c>
      <c r="B5" s="3"/>
      <c r="C5" s="3">
        <v>2</v>
      </c>
      <c r="D5" s="3">
        <v>3.5</v>
      </c>
      <c r="E5" s="3">
        <v>0.5</v>
      </c>
      <c r="F5" s="3">
        <v>6</v>
      </c>
    </row>
    <row r="6" spans="1:6" x14ac:dyDescent="0.25">
      <c r="A6" s="5">
        <v>43237</v>
      </c>
      <c r="B6" s="3"/>
      <c r="C6" s="3">
        <v>6.25</v>
      </c>
      <c r="D6" s="3"/>
      <c r="E6" s="3">
        <v>0.5</v>
      </c>
      <c r="F6" s="3">
        <v>6.75</v>
      </c>
    </row>
    <row r="7" spans="1:6" x14ac:dyDescent="0.25">
      <c r="A7" s="5">
        <v>43236</v>
      </c>
      <c r="B7" s="3"/>
      <c r="C7" s="3">
        <v>4</v>
      </c>
      <c r="D7" s="3">
        <v>0.5</v>
      </c>
      <c r="E7" s="3"/>
      <c r="F7" s="3">
        <v>4.5</v>
      </c>
    </row>
    <row r="8" spans="1:6" x14ac:dyDescent="0.25">
      <c r="A8" s="5">
        <v>43235</v>
      </c>
      <c r="B8" s="3"/>
      <c r="C8" s="3">
        <v>6</v>
      </c>
      <c r="D8" s="3"/>
      <c r="E8" s="3"/>
      <c r="F8" s="3">
        <v>6</v>
      </c>
    </row>
    <row r="9" spans="1:6" x14ac:dyDescent="0.25">
      <c r="A9" s="5">
        <v>43229</v>
      </c>
      <c r="B9" s="3"/>
      <c r="C9" s="3"/>
      <c r="D9" s="3">
        <v>4.5</v>
      </c>
      <c r="E9" s="3"/>
      <c r="F9" s="3">
        <v>4.5</v>
      </c>
    </row>
    <row r="10" spans="1:6" x14ac:dyDescent="0.25">
      <c r="A10" s="5">
        <v>43228</v>
      </c>
      <c r="B10" s="3"/>
      <c r="C10" s="3">
        <v>1</v>
      </c>
      <c r="D10" s="3">
        <v>4</v>
      </c>
      <c r="E10" s="3">
        <v>1</v>
      </c>
      <c r="F10" s="3">
        <v>6</v>
      </c>
    </row>
    <row r="11" spans="1:6" x14ac:dyDescent="0.25">
      <c r="A11" s="5">
        <v>43238</v>
      </c>
      <c r="B11" s="3"/>
      <c r="C11" s="3">
        <v>5.25</v>
      </c>
      <c r="D11" s="3"/>
      <c r="E11" s="3"/>
      <c r="F11" s="3">
        <v>5.25</v>
      </c>
    </row>
    <row r="12" spans="1:6" x14ac:dyDescent="0.25">
      <c r="A12" s="5">
        <v>43245</v>
      </c>
      <c r="B12" s="3">
        <v>1.25</v>
      </c>
      <c r="C12" s="3"/>
      <c r="D12" s="3"/>
      <c r="E12" s="3"/>
      <c r="F12" s="3">
        <v>1.25</v>
      </c>
    </row>
    <row r="13" spans="1:6" x14ac:dyDescent="0.25">
      <c r="A13" s="5">
        <v>43244</v>
      </c>
      <c r="B13" s="3">
        <v>1.25</v>
      </c>
      <c r="C13" s="3">
        <v>5</v>
      </c>
      <c r="D13" s="3"/>
      <c r="E13" s="3">
        <v>0.5</v>
      </c>
      <c r="F13" s="3">
        <v>6.75</v>
      </c>
    </row>
    <row r="14" spans="1:6" x14ac:dyDescent="0.25">
      <c r="A14" s="5">
        <v>43243</v>
      </c>
      <c r="B14" s="3">
        <v>0.5</v>
      </c>
      <c r="C14" s="3">
        <v>4</v>
      </c>
      <c r="D14" s="3"/>
      <c r="E14" s="3"/>
      <c r="F14" s="3">
        <v>4.5</v>
      </c>
    </row>
    <row r="15" spans="1:6" x14ac:dyDescent="0.25">
      <c r="A15" s="5" t="s">
        <v>11</v>
      </c>
      <c r="B15" s="3">
        <v>3</v>
      </c>
      <c r="C15" s="3">
        <v>33.5</v>
      </c>
      <c r="D15" s="3">
        <v>12.5</v>
      </c>
      <c r="E15" s="3">
        <v>2.5</v>
      </c>
      <c r="F15" s="3">
        <v>51.5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7"/>
  <sheetViews>
    <sheetView workbookViewId="0">
      <selection activeCell="A2" sqref="A2"/>
    </sheetView>
  </sheetViews>
  <sheetFormatPr baseColWidth="10" defaultColWidth="11.42578125"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14</v>
      </c>
    </row>
    <row r="6" spans="1:1" x14ac:dyDescent="0.25">
      <c r="A6" s="1" t="s">
        <v>9</v>
      </c>
    </row>
    <row r="7" spans="1:1" x14ac:dyDescent="0.25">
      <c r="A7"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2018-05-25T13:04:38Z</dcterms:modified>
</cp:coreProperties>
</file>