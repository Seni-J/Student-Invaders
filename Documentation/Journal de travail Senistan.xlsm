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filterPrivacy="1" codeName="ThisWorkbook" hidePivotFieldList="1"/>
  <xr:revisionPtr revIDLastSave="0" documentId="10_ncr:8100000_{539A8B4C-9781-4339-A376-390DB3FC7CB3}" xr6:coauthVersionLast="33" xr6:coauthVersionMax="33" xr10:uidLastSave="{00000000-0000-0000-0000-000000000000}"/>
  <bookViews>
    <workbookView xWindow="0" yWindow="465" windowWidth="28800" windowHeight="17535" xr2:uid="{00000000-000D-0000-FFFF-FFFF00000000}"/>
  </bookViews>
  <sheets>
    <sheet name="Journal" sheetId="1" r:id="rId1"/>
    <sheet name="Totaux" sheetId="4" r:id="rId2"/>
    <sheet name="Paramètres" sheetId="2" r:id="rId3"/>
  </sheets>
  <calcPr calcId="162913" concurrentCalc="0"/>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 r="B27" i="1"/>
  <c r="B30" i="1"/>
  <c r="B29" i="1"/>
  <c r="B28" i="1"/>
  <c r="B31" i="1"/>
  <c r="B32" i="1"/>
  <c r="B33" i="1"/>
  <c r="B34" i="1"/>
  <c r="B35" i="1"/>
  <c r="B36" i="1"/>
  <c r="B37" i="1"/>
  <c r="B38" i="1"/>
  <c r="B39" i="1"/>
  <c r="B40" i="1"/>
</calcChain>
</file>

<file path=xl/sharedStrings.xml><?xml version="1.0" encoding="utf-8"?>
<sst xmlns="http://schemas.openxmlformats.org/spreadsheetml/2006/main" count="108" uniqueCount="64">
  <si>
    <t>Description</t>
  </si>
  <si>
    <t>Remarques/problèmes</t>
  </si>
  <si>
    <t>Jour</t>
  </si>
  <si>
    <t>Temps [h]</t>
  </si>
  <si>
    <t>Type</t>
  </si>
  <si>
    <t>Types de tâches</t>
  </si>
  <si>
    <t>Analyse</t>
  </si>
  <si>
    <t>Implémentation</t>
  </si>
  <si>
    <t>Tests</t>
  </si>
  <si>
    <t>Documentation</t>
  </si>
  <si>
    <t>Absence</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</si>
  <si>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</si>
  <si>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</si>
  <si>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</si>
  <si>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</si>
  <si>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</si>
  <si>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</si>
  <si>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</si>
  <si>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</si>
  <si>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</si>
  <si>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</si>
  <si>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</si>
  <si>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</si>
  <si>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</si>
  <si>
    <t>J'ai modifié le sprite de l'élève. J'ai commencé à faire le menu pour le jeu. J'ai regardé différents tutoriels que ça soit écrit ou en vidéo. J'ai même utilisé un livre. Le menu avance mais je rencontre quelques soucis au cours de l'implémentation.</t>
  </si>
  <si>
    <t>J'ai eu quelques problèmes avec le code concernant le tactile. Dans le menu, quand on doit appuyer sur le bouton "Jouer", il ne passait pas à la scène suivante. J'ai mis du temps avant de trouver du code fonctionnel. Cependant un autre problème risque d'intervenir demain avec l'implémentation du glisser.</t>
  </si>
  <si>
    <t xml:space="preserve">J'ai principalement travaillé sur le menu et la séléction des langues. J'ai pu implémenter la fonction de glissade des langues et ainsi choisir la langue sur la personne désirée.  </t>
  </si>
  <si>
    <t>Le code n'est pas tout à fait au point mais cela risque de changer dans le futur avec l'ajout du Webservice pour le choix des vocs.</t>
  </si>
  <si>
    <t>Création des scénarios pour la maquette "sélection des langues".</t>
  </si>
  <si>
    <t>Démo du sprint à Mr.Carrel qui est satisfait du travail. Le sprint suivant a été modifié afin de reprendre des tâches non complètes.</t>
  </si>
  <si>
    <t>J'ai des soucis concernant l'affichage des vocabulaires après avoir choisi les langues. Il faut que je pose la question à un prof car c'est un problème assez technique que je n'ai pas encore réussi à régler.</t>
  </si>
  <si>
    <t>Suite à la démo, Mr. Carrel m'a fourni quelques données à utiliser pour le projet. J'ai dû modifier une grande partie de mon code  concernant la sélection des langues pour inclure ces données. J'ai aussi corrigé quelques soucis dans le code qui posait problème.</t>
  </si>
  <si>
    <t>J'ai travaillé sur la sélection des langues pour ajouter le vocabulaire. Quelques soucis persistent mais je les réglerai plus tard.</t>
  </si>
  <si>
    <t>Des soucis que je dois voir avec mon chef de projet comme réinitialiser la sélection ou changer de vocabulaire courant.</t>
  </si>
  <si>
    <t>J'ai travaillé sur la partie de la scène du jeu. J'ai aussi commencé à implémenter la classe concernant le professeur. J'ai écris quelques scénarios sur papier que je n'ai pas retranscrit dans ma documentation. A faire la semaine prochaine.</t>
  </si>
  <si>
    <t>Visite de l'expert Mr. Tièche pour voir l'avancement du projet. Il m'a donné quelques conseils concernant le journal de travail, la documentation ainsi que les commentaires du code.</t>
  </si>
  <si>
    <t>J'ai implémenté la fonction de mouvement pour le professeur. J'ai aussi affiché les blocs pour que les mots soient écris dessus.</t>
  </si>
  <si>
    <t xml:space="preserve">J'ai quelques questions pour mon chef de projet concernant l'affichage des mots sur les "pancartes". </t>
  </si>
  <si>
    <t>J'ai crée le MCD pour le projet. J'attends la validation de Mr. Carrel pour le mettre dans le document. J'ai fait la partie "Vue d'ensemble" de la documentation. J'ai aussi écris les différents scénarios possibles pour le prof.</t>
  </si>
  <si>
    <t>J'ai mis à jour le MCD dans la documentation et j'ai demandé à Mr. Carrel si c'était tout bon pour lui.</t>
  </si>
  <si>
    <t>J'ai pu voir Mr. Carrel pour lui poser les questions sur l'affichage des mots sur les boxes. J'ai quelques soucis concernant le code car je n'arrive pas très bien à visualiser comment implémenter ceci. J'ai posé quelques questions à Mr. Carrel par email et j'ai ensuite demandé de l'aide à Stuart s'il avait aussi une autre solution pour approcher le problème.</t>
  </si>
  <si>
    <t>Le problème n'étant toujours pas réglé, je vais voir cela demain durant la démo.</t>
  </si>
  <si>
    <t>Sprint Review du Sprint No 2, Le professeur. Quelques erreurs subsitent et deux objectifs du sprint n'ont pas été implémentés.</t>
  </si>
  <si>
    <t>Une démo est prévue pour les deux objectifs manquants.</t>
  </si>
  <si>
    <t>J'ai repris la documentation pour faire la stratégie de test. J'ai aussi complété la partie planification.</t>
  </si>
  <si>
    <t>J'ai pu mettre en place les mots. Après avoir implémenté ceci, j'ai commencé à coder les mots à prendre et la fabrication de l'avion. J'ai fini de mettre en place les deux objectifs, il ne reste plus que quelques détails pour paufiner le tout.</t>
  </si>
  <si>
    <t>J'ai écris la particularité après l'avoir regardé avec Mr. Carrel. J'ai complété la partie stratégie
 de test ainsi que le journal de bord.</t>
  </si>
  <si>
    <t>J'ai discuté avec Mr. Carrel pour l'affichage des boîtes avec les mots pour le prof. Il m'a aidé en améliorant ma solution pour simplifier la tâche.</t>
  </si>
  <si>
    <t>Suite à la discussion, je me suis mis à coder cette solution. J'ai d'ailleurs fini de mettre en place la solution. Il reste tout de même certains détails à régler tel que les mots viennent du voc choisi. J'ai aussi commenté le code pour ne pas trop perdre de temps.</t>
  </si>
  <si>
    <t>Grand Total</t>
  </si>
  <si>
    <t>Sprint Review du Sprint No 2 pour les éléments manquants (envoyer un avion en papier et ramasser un mot d'une box). Les deux scénarios ont été validés par Mr. Carrel. On a parlé du prochain sprint et des objectifs.</t>
  </si>
  <si>
    <t>J'ai travaillé sur l'implémentation de l'envoi du papier et les box. Cela fonctionne et je pense être prêt pour la démo. En ayant terminé un peu plus tôt que prévu, je travaille sur les élèves.</t>
  </si>
  <si>
    <t>J'ai avancé sur la documentation pour ne pas trop prendre de retard. J'ai aussi commenté le code car certaines parties devaient être commenté.</t>
  </si>
  <si>
    <t>J'ai implémenté les élèves avec les mots correctement placés. Ils bougent latéralement ainsi que la détection des avion. Cependant, la détection n'est pas entièrement précise. J'ai aussi implémenté un écran "Game Over" mais il n'est pas totalement fonctionnel. Je le laisse de côté car ce n'est pas une tâche principale.</t>
  </si>
  <si>
    <t>J'ai avancé sur la partie "Réalisation" de la documentation.</t>
  </si>
  <si>
    <t>Je m'occupe du "Game Over" sur le jeu. J'ai aussi un problème concernant la fuite de mémoire qui fait planter mon application. Autrement, tout à l'air bon pour le prochain sprint.</t>
  </si>
  <si>
    <t>Sprint Review du Sprint No 3 concernant les élèves. Les différents scénarios ont été validés par Mr. Carrel. On a aussi modifié le prochain sprint et un des sprints est annulé.</t>
  </si>
  <si>
    <t>J'ai avancé sur une partie de la documentation. J'ai aussi mis en place le "Lisez-moi" sur Github pour le manuel d'installation.</t>
  </si>
  <si>
    <t>Rédaction de la deuxième particularité dans la documentation ainsi que certains précédents points qui ont été revus.</t>
  </si>
  <si>
    <t xml:space="preserve">J'ai réglé le souci du memory leak. Le jeu ne plante plus comme avant. </t>
  </si>
  <si>
    <t>Cela m'a pris du temps à debug malheureusement car je ne trouvais pas le problème en premier lieu.</t>
  </si>
  <si>
    <t>J'ai étoffé ma particularité 2 et j'ai aussi fait la partie test.</t>
  </si>
  <si>
    <t>J'ai mis en place rapidement un système de pause. Après cela, j'ai commencé la mise en place du Webservice. J'ai déjà les langues et les vocs en place, il ne reste plus que les mots du vocabulaire sélectionné.</t>
  </si>
  <si>
    <t>J'ai rattrapé 30 minutes à 13h suite à ces minutes perdues à cause de l'entretien.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</si>
</sst>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5" xfId="0" applyBorder="1" applyAlignment="1" applyProtection="1">
      <alignment horizontal="left" vertical="center" wrapText="1"/>
      <protection locked="0"/>
    </xf>
    <xf numFmtId="0" fontId="0" fillId="0" borderId="1" xfId="0" applyBorder="1" applyAlignment="1" applyProtection="1">
      <alignment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6.859149074073" createdVersion="4" refreshedVersion="6" minRefreshableVersion="3" recordCount="39" xr:uid="{00000000-000A-0000-FFFF-FFFF00000000}">
  <cacheSource type="worksheet">
    <worksheetSource ref="A1:D40" sheet="Journal"/>
  </cacheSource>
  <cacheFields count="4">
    <cacheField name="Jour" numFmtId="16">
      <sharedItems containsSemiMixedTypes="0" containsNonDate="0" containsDate="1" containsString="0" minDate="2018-01-01T00:00:00" maxDate="2018-06-06T00:00:00" count="16">
        <d v="2018-06-05T00:00:00"/>
        <d v="2018-06-01T00:00:00"/>
        <d v="2018-05-31T00:00:00"/>
        <d v="2018-05-30T00:00:00"/>
        <d v="2018-05-29T00:00:00"/>
        <d v="2018-05-25T00:00:00"/>
        <d v="2018-05-24T00:00:00"/>
        <d v="2018-05-23T00:00:00"/>
        <d v="2018-05-22T00:00:00"/>
        <d v="2018-05-18T00:00:00"/>
        <d v="2018-05-17T00:00:00"/>
        <d v="2018-05-16T00:00:00"/>
        <d v="2018-05-15T00:00:00"/>
        <d v="2018-05-09T00:00:00"/>
        <d v="2018-05-08T00:00:00"/>
        <d v="2018-01-01T00:00:00" u="1"/>
      </sharedItems>
    </cacheField>
    <cacheField name="Semaine" numFmtId="1">
      <sharedItems containsSemiMixedTypes="0" containsString="0" containsNumber="1" containsInteger="1" minValue="19" maxValue="23"/>
    </cacheField>
    <cacheField name="Temps [h]" numFmtId="2">
      <sharedItems containsSemiMixedTypes="0" containsString="0" containsNumber="1" minValue="0.5" maxValue="6.25"/>
    </cacheField>
    <cacheField name="Type" numFmtId="0">
      <sharedItems count="5">
        <s v="Implémentation"/>
        <s v="Documentation"/>
        <s v="Meeting"/>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n v="23"/>
    <n v="3.5"/>
    <x v="0"/>
  </r>
  <r>
    <x v="0"/>
    <n v="23"/>
    <n v="3"/>
    <x v="1"/>
  </r>
  <r>
    <x v="1"/>
    <n v="22"/>
    <n v="2.25"/>
    <x v="1"/>
  </r>
  <r>
    <x v="1"/>
    <n v="22"/>
    <n v="2.5"/>
    <x v="0"/>
  </r>
  <r>
    <x v="1"/>
    <n v="22"/>
    <n v="0.5"/>
    <x v="2"/>
  </r>
  <r>
    <x v="2"/>
    <n v="22"/>
    <n v="2.75"/>
    <x v="1"/>
  </r>
  <r>
    <x v="2"/>
    <n v="22"/>
    <n v="4"/>
    <x v="0"/>
  </r>
  <r>
    <x v="3"/>
    <n v="22"/>
    <n v="0.75"/>
    <x v="1"/>
  </r>
  <r>
    <x v="3"/>
    <n v="22"/>
    <n v="3"/>
    <x v="0"/>
  </r>
  <r>
    <x v="4"/>
    <n v="22"/>
    <n v="1.5"/>
    <x v="1"/>
  </r>
  <r>
    <x v="4"/>
    <n v="22"/>
    <n v="0.5"/>
    <x v="2"/>
  </r>
  <r>
    <x v="4"/>
    <n v="22"/>
    <n v="4"/>
    <x v="0"/>
  </r>
  <r>
    <x v="5"/>
    <n v="21"/>
    <n v="1.75"/>
    <x v="0"/>
  </r>
  <r>
    <x v="5"/>
    <n v="21"/>
    <n v="0.5"/>
    <x v="3"/>
  </r>
  <r>
    <x v="5"/>
    <n v="21"/>
    <n v="3"/>
    <x v="1"/>
  </r>
  <r>
    <x v="6"/>
    <n v="21"/>
    <n v="1.25"/>
    <x v="1"/>
  </r>
  <r>
    <x v="6"/>
    <n v="21"/>
    <n v="5"/>
    <x v="0"/>
  </r>
  <r>
    <x v="6"/>
    <n v="21"/>
    <n v="0.5"/>
    <x v="2"/>
  </r>
  <r>
    <x v="7"/>
    <n v="21"/>
    <n v="4"/>
    <x v="0"/>
  </r>
  <r>
    <x v="7"/>
    <n v="21"/>
    <n v="0.5"/>
    <x v="1"/>
  </r>
  <r>
    <x v="8"/>
    <n v="21"/>
    <n v="2"/>
    <x v="0"/>
  </r>
  <r>
    <x v="8"/>
    <n v="21"/>
    <n v="3.5"/>
    <x v="3"/>
  </r>
  <r>
    <x v="8"/>
    <n v="21"/>
    <n v="0.5"/>
    <x v="2"/>
  </r>
  <r>
    <x v="9"/>
    <n v="20"/>
    <n v="1.25"/>
    <x v="0"/>
  </r>
  <r>
    <x v="9"/>
    <n v="20"/>
    <n v="4"/>
    <x v="0"/>
  </r>
  <r>
    <x v="10"/>
    <n v="20"/>
    <n v="6.25"/>
    <x v="0"/>
  </r>
  <r>
    <x v="10"/>
    <n v="20"/>
    <n v="0.5"/>
    <x v="2"/>
  </r>
  <r>
    <x v="11"/>
    <n v="20"/>
    <n v="4"/>
    <x v="0"/>
  </r>
  <r>
    <x v="11"/>
    <n v="20"/>
    <n v="0.5"/>
    <x v="3"/>
  </r>
  <r>
    <x v="12"/>
    <n v="20"/>
    <n v="6"/>
    <x v="0"/>
  </r>
  <r>
    <x v="13"/>
    <n v="19"/>
    <n v="1.5"/>
    <x v="3"/>
  </r>
  <r>
    <x v="13"/>
    <n v="19"/>
    <n v="2"/>
    <x v="3"/>
  </r>
  <r>
    <x v="13"/>
    <n v="19"/>
    <n v="1"/>
    <x v="3"/>
  </r>
  <r>
    <x v="14"/>
    <n v="19"/>
    <n v="1.5"/>
    <x v="3"/>
  </r>
  <r>
    <x v="14"/>
    <n v="19"/>
    <n v="0.5"/>
    <x v="2"/>
  </r>
  <r>
    <x v="14"/>
    <n v="19"/>
    <n v="0.5"/>
    <x v="3"/>
  </r>
  <r>
    <x v="14"/>
    <n v="19"/>
    <n v="0.5"/>
    <x v="2"/>
  </r>
  <r>
    <x v="14"/>
    <n v="19"/>
    <n v="2"/>
    <x v="3"/>
  </r>
  <r>
    <x v="14"/>
    <n v="19"/>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20" firstHeaderRow="1" firstDataRow="2" firstDataCol="1"/>
  <pivotFields count="4">
    <pivotField axis="axisRow" numFmtId="16" showAll="0">
      <items count="17">
        <item m="1" x="15"/>
        <item x="8"/>
        <item x="10"/>
        <item x="11"/>
        <item x="12"/>
        <item x="13"/>
        <item x="14"/>
        <item x="9"/>
        <item x="5"/>
        <item x="6"/>
        <item x="7"/>
        <item x="2"/>
        <item x="3"/>
        <item x="4"/>
        <item x="0"/>
        <item x="1"/>
        <item t="default"/>
      </items>
    </pivotField>
    <pivotField showAll="0"/>
    <pivotField dataField="1" showAll="0"/>
    <pivotField axis="axisCol" showAll="0">
      <items count="6">
        <item x="1"/>
        <item x="0"/>
        <item x="3"/>
        <item m="1" x="4"/>
        <item x="2"/>
        <item t="default"/>
      </items>
    </pivotField>
  </pivotFields>
  <rowFields count="1">
    <field x="0"/>
  </rowFields>
  <rowItems count="16">
    <i>
      <x v="1"/>
    </i>
    <i>
      <x v="2"/>
    </i>
    <i>
      <x v="3"/>
    </i>
    <i>
      <x v="4"/>
    </i>
    <i>
      <x v="5"/>
    </i>
    <i>
      <x v="6"/>
    </i>
    <i>
      <x v="7"/>
    </i>
    <i>
      <x v="8"/>
    </i>
    <i>
      <x v="9"/>
    </i>
    <i>
      <x v="10"/>
    </i>
    <i>
      <x v="11"/>
    </i>
    <i>
      <x v="12"/>
    </i>
    <i>
      <x v="13"/>
    </i>
    <i>
      <x v="14"/>
    </i>
    <i>
      <x v="15"/>
    </i>
    <i t="grand">
      <x/>
    </i>
  </rowItems>
  <colFields count="1">
    <field x="3"/>
  </colFields>
  <colItems count="5">
    <i>
      <x/>
    </i>
    <i>
      <x v="1"/>
    </i>
    <i>
      <x v="2"/>
    </i>
    <i>
      <x v="4"/>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41"/>
  <sheetViews>
    <sheetView tabSelected="1" workbookViewId="0">
      <selection activeCell="E10" sqref="E10"/>
    </sheetView>
  </sheetViews>
  <sheetFormatPr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11</v>
      </c>
      <c r="C1" s="9" t="s">
        <v>3</v>
      </c>
      <c r="D1" s="6" t="s">
        <v>4</v>
      </c>
      <c r="E1" s="24" t="s">
        <v>0</v>
      </c>
      <c r="F1" s="10" t="s">
        <v>1</v>
      </c>
    </row>
    <row r="2" spans="1:9" ht="45" x14ac:dyDescent="0.25">
      <c r="A2" s="7">
        <v>43256</v>
      </c>
      <c r="B2" s="19">
        <f t="shared" ref="B2" si="0">WEEKNUM(A2)</f>
        <v>23</v>
      </c>
      <c r="C2" s="12">
        <v>3.5</v>
      </c>
      <c r="D2" s="22" t="s">
        <v>7</v>
      </c>
      <c r="E2" s="26" t="s">
        <v>62</v>
      </c>
      <c r="F2" s="23" t="s">
        <v>63</v>
      </c>
      <c r="I2" s="15"/>
    </row>
    <row r="3" spans="1:9" x14ac:dyDescent="0.25">
      <c r="A3" s="7">
        <v>43256</v>
      </c>
      <c r="B3" s="19">
        <f t="shared" ref="B3" si="1">WEEKNUM(A3)</f>
        <v>23</v>
      </c>
      <c r="C3" s="12">
        <v>3</v>
      </c>
      <c r="D3" s="22" t="s">
        <v>9</v>
      </c>
      <c r="E3" s="26" t="s">
        <v>61</v>
      </c>
      <c r="F3" s="23"/>
      <c r="I3" s="15"/>
    </row>
    <row r="4" spans="1:9" ht="30" x14ac:dyDescent="0.25">
      <c r="A4" s="7">
        <v>43252</v>
      </c>
      <c r="B4" s="19">
        <f t="shared" ref="B4" si="2">WEEKNUM(A4)</f>
        <v>22</v>
      </c>
      <c r="C4" s="12">
        <v>2.25</v>
      </c>
      <c r="D4" s="22" t="s">
        <v>9</v>
      </c>
      <c r="E4" s="26" t="s">
        <v>58</v>
      </c>
      <c r="F4" s="23"/>
      <c r="I4" s="15"/>
    </row>
    <row r="5" spans="1:9" ht="30" x14ac:dyDescent="0.25">
      <c r="A5" s="7">
        <v>43252</v>
      </c>
      <c r="B5" s="19">
        <f t="shared" ref="B5" si="3">WEEKNUM(A5)</f>
        <v>22</v>
      </c>
      <c r="C5" s="12">
        <v>2.5</v>
      </c>
      <c r="D5" s="22" t="s">
        <v>7</v>
      </c>
      <c r="E5" s="26" t="s">
        <v>59</v>
      </c>
      <c r="F5" s="23" t="s">
        <v>60</v>
      </c>
      <c r="I5" s="15"/>
    </row>
    <row r="6" spans="1:9" ht="30" x14ac:dyDescent="0.25">
      <c r="A6" s="7">
        <v>43252</v>
      </c>
      <c r="B6" s="19">
        <f t="shared" ref="B6" si="4">WEEKNUM(A6)</f>
        <v>22</v>
      </c>
      <c r="C6" s="12">
        <v>0.5</v>
      </c>
      <c r="D6" s="22" t="s">
        <v>13</v>
      </c>
      <c r="E6" s="26" t="s">
        <v>56</v>
      </c>
      <c r="F6" s="23"/>
      <c r="I6" s="15"/>
    </row>
    <row r="7" spans="1:9" ht="30" x14ac:dyDescent="0.25">
      <c r="A7" s="7">
        <v>43251</v>
      </c>
      <c r="B7" s="19">
        <f t="shared" ref="B7" si="5">WEEKNUM(A7)</f>
        <v>22</v>
      </c>
      <c r="C7" s="12">
        <v>2.75</v>
      </c>
      <c r="D7" s="22" t="s">
        <v>9</v>
      </c>
      <c r="E7" s="26" t="s">
        <v>57</v>
      </c>
      <c r="F7" s="23"/>
      <c r="I7" s="15"/>
    </row>
    <row r="8" spans="1:9" ht="45" x14ac:dyDescent="0.25">
      <c r="A8" s="7">
        <v>43251</v>
      </c>
      <c r="B8" s="19">
        <f t="shared" ref="B8" si="6">WEEKNUM(A8)</f>
        <v>22</v>
      </c>
      <c r="C8" s="12">
        <v>4</v>
      </c>
      <c r="D8" s="22" t="s">
        <v>7</v>
      </c>
      <c r="E8" s="26" t="s">
        <v>55</v>
      </c>
      <c r="F8" s="23"/>
      <c r="I8" s="15"/>
    </row>
    <row r="9" spans="1:9" x14ac:dyDescent="0.25">
      <c r="A9" s="7">
        <v>43250</v>
      </c>
      <c r="B9" s="19">
        <f t="shared" ref="B9" si="7">WEEKNUM(A9)</f>
        <v>22</v>
      </c>
      <c r="C9" s="12">
        <v>0.75</v>
      </c>
      <c r="D9" s="22" t="s">
        <v>9</v>
      </c>
      <c r="E9" s="26" t="s">
        <v>54</v>
      </c>
      <c r="F9" s="23"/>
      <c r="I9" s="15"/>
    </row>
    <row r="10" spans="1:9" ht="60" x14ac:dyDescent="0.25">
      <c r="A10" s="7">
        <v>43250</v>
      </c>
      <c r="B10" s="19">
        <f t="shared" ref="B10" si="8">WEEKNUM(A10)</f>
        <v>22</v>
      </c>
      <c r="C10" s="12">
        <v>3</v>
      </c>
      <c r="D10" s="22" t="s">
        <v>7</v>
      </c>
      <c r="E10" s="26" t="s">
        <v>53</v>
      </c>
      <c r="F10" s="23"/>
      <c r="I10" s="15"/>
    </row>
    <row r="11" spans="1:9" ht="30" x14ac:dyDescent="0.25">
      <c r="A11" s="7">
        <v>43249</v>
      </c>
      <c r="B11" s="19">
        <f t="shared" ref="B11" si="9">WEEKNUM(A11)</f>
        <v>22</v>
      </c>
      <c r="C11" s="12">
        <v>1.5</v>
      </c>
      <c r="D11" s="22" t="s">
        <v>9</v>
      </c>
      <c r="E11" s="26" t="s">
        <v>52</v>
      </c>
      <c r="F11" s="23"/>
      <c r="I11" s="15"/>
    </row>
    <row r="12" spans="1:9" ht="45" x14ac:dyDescent="0.25">
      <c r="A12" s="7">
        <v>43249</v>
      </c>
      <c r="B12" s="19">
        <f t="shared" ref="B12" si="10">WEEKNUM(A12)</f>
        <v>22</v>
      </c>
      <c r="C12" s="12">
        <v>0.5</v>
      </c>
      <c r="D12" s="22" t="s">
        <v>13</v>
      </c>
      <c r="E12" s="26" t="s">
        <v>50</v>
      </c>
      <c r="F12" s="23"/>
      <c r="I12" s="15"/>
    </row>
    <row r="13" spans="1:9" ht="45" x14ac:dyDescent="0.25">
      <c r="A13" s="7">
        <v>43249</v>
      </c>
      <c r="B13" s="19">
        <f t="shared" ref="B13" si="11">WEEKNUM(A13)</f>
        <v>22</v>
      </c>
      <c r="C13" s="12">
        <v>4</v>
      </c>
      <c r="D13" s="22" t="s">
        <v>7</v>
      </c>
      <c r="E13" s="26" t="s">
        <v>51</v>
      </c>
      <c r="F13" s="23"/>
      <c r="I13" s="15"/>
    </row>
    <row r="14" spans="1:9" ht="45" x14ac:dyDescent="0.25">
      <c r="A14" s="7">
        <v>43245</v>
      </c>
      <c r="B14" s="19">
        <f t="shared" ref="B14" si="12">WEEKNUM(A14)</f>
        <v>21</v>
      </c>
      <c r="C14" s="12">
        <v>1.75</v>
      </c>
      <c r="D14" s="22" t="s">
        <v>7</v>
      </c>
      <c r="E14" s="26" t="s">
        <v>48</v>
      </c>
      <c r="F14" s="23"/>
      <c r="I14" s="15"/>
    </row>
    <row r="15" spans="1:9" ht="30" x14ac:dyDescent="0.25">
      <c r="A15" s="7">
        <v>43245</v>
      </c>
      <c r="B15" s="19">
        <f t="shared" ref="B15" si="13">WEEKNUM(A15)</f>
        <v>21</v>
      </c>
      <c r="C15" s="12">
        <v>0.5</v>
      </c>
      <c r="D15" s="22" t="s">
        <v>6</v>
      </c>
      <c r="E15" s="26" t="s">
        <v>47</v>
      </c>
      <c r="F15" s="23"/>
      <c r="I15" s="15"/>
    </row>
    <row r="16" spans="1:9" ht="30" x14ac:dyDescent="0.25">
      <c r="A16" s="7">
        <v>43245</v>
      </c>
      <c r="B16" s="19">
        <f t="shared" ref="B16" si="14">WEEKNUM(A16)</f>
        <v>21</v>
      </c>
      <c r="C16" s="12">
        <v>3</v>
      </c>
      <c r="D16" s="22" t="s">
        <v>9</v>
      </c>
      <c r="E16" s="26" t="s">
        <v>46</v>
      </c>
      <c r="F16" s="23"/>
      <c r="I16" s="15"/>
    </row>
    <row r="17" spans="1:9" ht="30" x14ac:dyDescent="0.25">
      <c r="A17" s="7">
        <v>43244</v>
      </c>
      <c r="B17" s="19">
        <f t="shared" ref="B17" si="15">WEEKNUM(A17)</f>
        <v>21</v>
      </c>
      <c r="C17" s="12">
        <v>1.25</v>
      </c>
      <c r="D17" s="13" t="s">
        <v>9</v>
      </c>
      <c r="E17" s="25" t="s">
        <v>44</v>
      </c>
      <c r="F17" s="14"/>
      <c r="I17" s="15"/>
    </row>
    <row r="18" spans="1:9" ht="45" x14ac:dyDescent="0.25">
      <c r="A18" s="7">
        <v>43244</v>
      </c>
      <c r="B18" s="19">
        <f t="shared" ref="B18" si="16">WEEKNUM(A18)</f>
        <v>21</v>
      </c>
      <c r="C18" s="12">
        <v>5</v>
      </c>
      <c r="D18" s="13" t="s">
        <v>7</v>
      </c>
      <c r="E18" s="14" t="s">
        <v>45</v>
      </c>
      <c r="F18" s="14"/>
      <c r="I18" s="15"/>
    </row>
    <row r="19" spans="1:9" ht="30" x14ac:dyDescent="0.25">
      <c r="A19" s="7">
        <v>43244</v>
      </c>
      <c r="B19" s="19">
        <f t="shared" ref="B19" si="17">WEEKNUM(A19)</f>
        <v>21</v>
      </c>
      <c r="C19" s="12">
        <v>0.5</v>
      </c>
      <c r="D19" s="13" t="s">
        <v>13</v>
      </c>
      <c r="E19" s="14" t="s">
        <v>42</v>
      </c>
      <c r="F19" s="14" t="s">
        <v>43</v>
      </c>
      <c r="I19" s="15"/>
    </row>
    <row r="20" spans="1:9" ht="60" x14ac:dyDescent="0.25">
      <c r="A20" s="7">
        <v>43243</v>
      </c>
      <c r="B20" s="19">
        <f t="shared" ref="B20" si="18">WEEKNUM(A20)</f>
        <v>21</v>
      </c>
      <c r="C20" s="12">
        <v>4</v>
      </c>
      <c r="D20" s="13" t="s">
        <v>7</v>
      </c>
      <c r="E20" s="14" t="s">
        <v>40</v>
      </c>
      <c r="F20" s="14" t="s">
        <v>41</v>
      </c>
      <c r="I20" s="15"/>
    </row>
    <row r="21" spans="1:9" ht="30" x14ac:dyDescent="0.25">
      <c r="A21" s="7">
        <v>43243</v>
      </c>
      <c r="B21" s="19">
        <f t="shared" ref="B21" si="19">WEEKNUM(A21)</f>
        <v>21</v>
      </c>
      <c r="C21" s="12">
        <v>0.5</v>
      </c>
      <c r="D21" s="13" t="s">
        <v>9</v>
      </c>
      <c r="E21" s="14" t="s">
        <v>39</v>
      </c>
      <c r="F21" s="14"/>
      <c r="I21" s="15"/>
    </row>
    <row r="22" spans="1:9" ht="30" x14ac:dyDescent="0.25">
      <c r="A22" s="7">
        <v>43242</v>
      </c>
      <c r="B22" s="19">
        <f t="shared" ref="B22:B30" si="20">WEEKNUM(A22)</f>
        <v>21</v>
      </c>
      <c r="C22" s="12">
        <v>2</v>
      </c>
      <c r="D22" s="13" t="s">
        <v>7</v>
      </c>
      <c r="E22" s="14" t="s">
        <v>36</v>
      </c>
      <c r="F22" s="14" t="s">
        <v>37</v>
      </c>
      <c r="I22" s="15"/>
    </row>
    <row r="23" spans="1:9" ht="45" x14ac:dyDescent="0.25">
      <c r="A23" s="7">
        <v>43242</v>
      </c>
      <c r="B23" s="19">
        <f t="shared" si="20"/>
        <v>21</v>
      </c>
      <c r="C23" s="12">
        <v>3.5</v>
      </c>
      <c r="D23" s="13" t="s">
        <v>6</v>
      </c>
      <c r="E23" s="14" t="s">
        <v>38</v>
      </c>
      <c r="F23" s="14"/>
      <c r="I23" s="15"/>
    </row>
    <row r="24" spans="1:9" ht="45" x14ac:dyDescent="0.25">
      <c r="A24" s="7">
        <v>43242</v>
      </c>
      <c r="B24" s="19">
        <f t="shared" si="20"/>
        <v>21</v>
      </c>
      <c r="C24" s="12">
        <v>0.5</v>
      </c>
      <c r="D24" s="13" t="s">
        <v>13</v>
      </c>
      <c r="E24" s="14" t="s">
        <v>35</v>
      </c>
      <c r="F24" s="14"/>
      <c r="I24" s="15"/>
    </row>
    <row r="25" spans="1:9" ht="45" x14ac:dyDescent="0.25">
      <c r="A25" s="7">
        <v>43238</v>
      </c>
      <c r="B25" s="19">
        <f t="shared" si="20"/>
        <v>20</v>
      </c>
      <c r="C25" s="12">
        <v>1.25</v>
      </c>
      <c r="D25" s="13" t="s">
        <v>7</v>
      </c>
      <c r="E25" s="14" t="s">
        <v>34</v>
      </c>
      <c r="F25" s="14"/>
      <c r="I25" s="15"/>
    </row>
    <row r="26" spans="1:9" ht="30" x14ac:dyDescent="0.25">
      <c r="A26" s="7">
        <v>43238</v>
      </c>
      <c r="B26" s="19">
        <f t="shared" si="20"/>
        <v>20</v>
      </c>
      <c r="C26" s="12">
        <v>4</v>
      </c>
      <c r="D26" s="13" t="s">
        <v>7</v>
      </c>
      <c r="E26" s="14" t="s">
        <v>32</v>
      </c>
      <c r="F26" s="14" t="s">
        <v>33</v>
      </c>
      <c r="I26" s="15"/>
    </row>
    <row r="27" spans="1:9" ht="45" x14ac:dyDescent="0.25">
      <c r="A27" s="7">
        <v>43237</v>
      </c>
      <c r="B27" s="19">
        <f t="shared" si="20"/>
        <v>20</v>
      </c>
      <c r="C27" s="12">
        <v>6.25</v>
      </c>
      <c r="D27" s="13" t="s">
        <v>7</v>
      </c>
      <c r="E27" s="14" t="s">
        <v>31</v>
      </c>
      <c r="F27" s="14" t="s">
        <v>30</v>
      </c>
      <c r="I27" s="15"/>
    </row>
    <row r="28" spans="1:9" ht="30" x14ac:dyDescent="0.25">
      <c r="A28" s="7">
        <v>43237</v>
      </c>
      <c r="B28" s="19">
        <f t="shared" si="20"/>
        <v>20</v>
      </c>
      <c r="C28" s="12">
        <v>0.5</v>
      </c>
      <c r="D28" s="13" t="s">
        <v>13</v>
      </c>
      <c r="E28" s="14" t="s">
        <v>29</v>
      </c>
      <c r="F28" s="14"/>
      <c r="I28" s="15"/>
    </row>
    <row r="29" spans="1:9" ht="30" x14ac:dyDescent="0.25">
      <c r="A29" s="7">
        <v>43236</v>
      </c>
      <c r="B29" s="19">
        <f t="shared" si="20"/>
        <v>20</v>
      </c>
      <c r="C29" s="12">
        <v>4</v>
      </c>
      <c r="D29" s="13" t="s">
        <v>7</v>
      </c>
      <c r="E29" s="14" t="s">
        <v>26</v>
      </c>
      <c r="F29" s="14" t="s">
        <v>27</v>
      </c>
      <c r="I29" s="15"/>
    </row>
    <row r="30" spans="1:9" x14ac:dyDescent="0.25">
      <c r="A30" s="7">
        <v>43236</v>
      </c>
      <c r="B30" s="19">
        <f t="shared" si="20"/>
        <v>20</v>
      </c>
      <c r="C30" s="12">
        <v>0.5</v>
      </c>
      <c r="D30" s="13" t="s">
        <v>6</v>
      </c>
      <c r="E30" s="14" t="s">
        <v>28</v>
      </c>
      <c r="F30" s="14"/>
      <c r="I30" s="15"/>
    </row>
    <row r="31" spans="1:9" ht="60" x14ac:dyDescent="0.25">
      <c r="A31" s="7">
        <v>43235</v>
      </c>
      <c r="B31" s="19">
        <f t="shared" ref="B31" si="21">WEEKNUM(A31)</f>
        <v>20</v>
      </c>
      <c r="C31" s="12">
        <v>6</v>
      </c>
      <c r="D31" s="13" t="s">
        <v>7</v>
      </c>
      <c r="E31" s="14" t="s">
        <v>24</v>
      </c>
      <c r="F31" s="14" t="s">
        <v>25</v>
      </c>
      <c r="I31" s="15"/>
    </row>
    <row r="32" spans="1:9" ht="45" x14ac:dyDescent="0.25">
      <c r="A32" s="7">
        <v>43229</v>
      </c>
      <c r="B32" s="19">
        <f t="shared" ref="B32:B40" si="22">WEEKNUM(A32)</f>
        <v>19</v>
      </c>
      <c r="C32" s="12">
        <v>1.5</v>
      </c>
      <c r="D32" s="13" t="s">
        <v>6</v>
      </c>
      <c r="E32" s="14" t="s">
        <v>23</v>
      </c>
      <c r="F32" s="14"/>
      <c r="I32" s="15"/>
    </row>
    <row r="33" spans="1:9" ht="45" x14ac:dyDescent="0.25">
      <c r="A33" s="7">
        <v>43229</v>
      </c>
      <c r="B33" s="19">
        <f t="shared" si="22"/>
        <v>19</v>
      </c>
      <c r="C33" s="12">
        <v>2</v>
      </c>
      <c r="D33" s="13" t="s">
        <v>6</v>
      </c>
      <c r="E33" s="14" t="s">
        <v>22</v>
      </c>
      <c r="F33" s="14"/>
      <c r="I33" s="15"/>
    </row>
    <row r="34" spans="1:9" x14ac:dyDescent="0.25">
      <c r="A34" s="7">
        <v>43229</v>
      </c>
      <c r="B34" s="19">
        <f t="shared" si="22"/>
        <v>19</v>
      </c>
      <c r="C34" s="12">
        <v>1</v>
      </c>
      <c r="D34" s="13" t="s">
        <v>6</v>
      </c>
      <c r="E34" s="14" t="s">
        <v>21</v>
      </c>
      <c r="F34" s="14"/>
      <c r="I34" s="15"/>
    </row>
    <row r="35" spans="1:9" x14ac:dyDescent="0.25">
      <c r="A35" s="7">
        <v>43228</v>
      </c>
      <c r="B35" s="19">
        <f t="shared" si="22"/>
        <v>19</v>
      </c>
      <c r="C35" s="12">
        <v>1.5</v>
      </c>
      <c r="D35" s="13" t="s">
        <v>6</v>
      </c>
      <c r="E35" s="14" t="s">
        <v>20</v>
      </c>
      <c r="F35" s="14"/>
      <c r="I35" s="15"/>
    </row>
    <row r="36" spans="1:9" x14ac:dyDescent="0.25">
      <c r="A36" s="7">
        <v>43228</v>
      </c>
      <c r="B36" s="19">
        <f t="shared" si="22"/>
        <v>19</v>
      </c>
      <c r="C36" s="12">
        <v>0.5</v>
      </c>
      <c r="D36" s="13" t="s">
        <v>13</v>
      </c>
      <c r="E36" s="14" t="s">
        <v>18</v>
      </c>
      <c r="F36" s="14"/>
      <c r="I36" s="15"/>
    </row>
    <row r="37" spans="1:9" x14ac:dyDescent="0.25">
      <c r="A37" s="7">
        <v>43228</v>
      </c>
      <c r="B37" s="19">
        <f t="shared" si="22"/>
        <v>19</v>
      </c>
      <c r="C37" s="12">
        <v>0.5</v>
      </c>
      <c r="D37" s="13" t="s">
        <v>6</v>
      </c>
      <c r="E37" s="14" t="s">
        <v>19</v>
      </c>
      <c r="F37" s="14"/>
      <c r="I37" s="15"/>
    </row>
    <row r="38" spans="1:9" ht="30" x14ac:dyDescent="0.25">
      <c r="A38" s="7">
        <v>43228</v>
      </c>
      <c r="B38" s="19">
        <f t="shared" si="22"/>
        <v>19</v>
      </c>
      <c r="C38" s="12">
        <v>0.5</v>
      </c>
      <c r="D38" s="13" t="s">
        <v>13</v>
      </c>
      <c r="E38" s="14" t="s">
        <v>14</v>
      </c>
      <c r="F38" s="14" t="s">
        <v>15</v>
      </c>
      <c r="I38" s="15"/>
    </row>
    <row r="39" spans="1:9" x14ac:dyDescent="0.25">
      <c r="A39" s="7">
        <v>43228</v>
      </c>
      <c r="B39" s="19">
        <f t="shared" si="22"/>
        <v>19</v>
      </c>
      <c r="C39" s="12">
        <v>2</v>
      </c>
      <c r="D39" s="13" t="s">
        <v>6</v>
      </c>
      <c r="E39" s="14" t="s">
        <v>16</v>
      </c>
      <c r="F39" s="14"/>
      <c r="I39" s="15"/>
    </row>
    <row r="40" spans="1:9" ht="30" x14ac:dyDescent="0.25">
      <c r="A40" s="7">
        <v>43228</v>
      </c>
      <c r="B40" s="19">
        <f t="shared" si="22"/>
        <v>19</v>
      </c>
      <c r="C40" s="12">
        <v>1</v>
      </c>
      <c r="D40" s="13" t="s">
        <v>7</v>
      </c>
      <c r="E40" s="14" t="s">
        <v>17</v>
      </c>
      <c r="F40" s="14"/>
      <c r="I40" s="15"/>
    </row>
    <row r="41" spans="1:9" x14ac:dyDescent="0.25">
      <c r="A41" s="21"/>
    </row>
  </sheetData>
  <sheetProtection selectLockedCells="1"/>
  <sortState ref="A11:F12">
    <sortCondition ref="A11"/>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Paramètres!$A$2:$A$7</xm:f>
          </x14:formula1>
          <xm:sqref>D2:D40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F20"/>
  <sheetViews>
    <sheetView workbookViewId="0">
      <selection activeCell="F17" sqref="F17"/>
    </sheetView>
  </sheetViews>
  <sheetFormatPr defaultColWidth="11.42578125" defaultRowHeight="15" x14ac:dyDescent="0.25"/>
  <cols>
    <col min="1" max="1" width="20" bestFit="1" customWidth="1"/>
    <col min="2" max="2" width="14.85546875" bestFit="1" customWidth="1"/>
    <col min="3" max="3" width="15.5703125" bestFit="1" customWidth="1"/>
    <col min="4" max="4" width="8" bestFit="1" customWidth="1"/>
    <col min="5" max="5" width="8.5703125" bestFit="1" customWidth="1"/>
    <col min="6" max="6" width="11.28515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12</v>
      </c>
    </row>
    <row r="4" spans="1:6" x14ac:dyDescent="0.25">
      <c r="B4" t="s">
        <v>9</v>
      </c>
      <c r="C4" t="s">
        <v>7</v>
      </c>
      <c r="D4" t="s">
        <v>6</v>
      </c>
      <c r="E4" t="s">
        <v>13</v>
      </c>
      <c r="F4" t="s">
        <v>49</v>
      </c>
    </row>
    <row r="5" spans="1:6" x14ac:dyDescent="0.25">
      <c r="A5" s="5">
        <v>43242</v>
      </c>
      <c r="B5" s="3"/>
      <c r="C5" s="3">
        <v>2</v>
      </c>
      <c r="D5" s="3">
        <v>3.5</v>
      </c>
      <c r="E5" s="3">
        <v>0.5</v>
      </c>
      <c r="F5" s="3">
        <v>6</v>
      </c>
    </row>
    <row r="6" spans="1:6" x14ac:dyDescent="0.25">
      <c r="A6" s="5">
        <v>43237</v>
      </c>
      <c r="B6" s="3"/>
      <c r="C6" s="3">
        <v>6.25</v>
      </c>
      <c r="D6" s="3"/>
      <c r="E6" s="3">
        <v>0.5</v>
      </c>
      <c r="F6" s="3">
        <v>6.75</v>
      </c>
    </row>
    <row r="7" spans="1:6" x14ac:dyDescent="0.25">
      <c r="A7" s="5">
        <v>43236</v>
      </c>
      <c r="B7" s="3"/>
      <c r="C7" s="3">
        <v>4</v>
      </c>
      <c r="D7" s="3">
        <v>0.5</v>
      </c>
      <c r="E7" s="3"/>
      <c r="F7" s="3">
        <v>4.5</v>
      </c>
    </row>
    <row r="8" spans="1:6" x14ac:dyDescent="0.25">
      <c r="A8" s="5">
        <v>43235</v>
      </c>
      <c r="B8" s="3"/>
      <c r="C8" s="3">
        <v>6</v>
      </c>
      <c r="D8" s="3"/>
      <c r="E8" s="3"/>
      <c r="F8" s="3">
        <v>6</v>
      </c>
    </row>
    <row r="9" spans="1:6" x14ac:dyDescent="0.25">
      <c r="A9" s="5">
        <v>43229</v>
      </c>
      <c r="B9" s="3"/>
      <c r="C9" s="3"/>
      <c r="D9" s="3">
        <v>4.5</v>
      </c>
      <c r="E9" s="3"/>
      <c r="F9" s="3">
        <v>4.5</v>
      </c>
    </row>
    <row r="10" spans="1:6" x14ac:dyDescent="0.25">
      <c r="A10" s="5">
        <v>43228</v>
      </c>
      <c r="B10" s="3"/>
      <c r="C10" s="3">
        <v>1</v>
      </c>
      <c r="D10" s="3">
        <v>4</v>
      </c>
      <c r="E10" s="3">
        <v>1</v>
      </c>
      <c r="F10" s="3">
        <v>6</v>
      </c>
    </row>
    <row r="11" spans="1:6" x14ac:dyDescent="0.25">
      <c r="A11" s="5">
        <v>43238</v>
      </c>
      <c r="B11" s="3"/>
      <c r="C11" s="3">
        <v>5.25</v>
      </c>
      <c r="D11" s="3"/>
      <c r="E11" s="3"/>
      <c r="F11" s="3">
        <v>5.25</v>
      </c>
    </row>
    <row r="12" spans="1:6" x14ac:dyDescent="0.25">
      <c r="A12" s="5">
        <v>43245</v>
      </c>
      <c r="B12" s="3">
        <v>3</v>
      </c>
      <c r="C12" s="3">
        <v>1.75</v>
      </c>
      <c r="D12" s="3">
        <v>0.5</v>
      </c>
      <c r="E12" s="3"/>
      <c r="F12" s="3">
        <v>5.25</v>
      </c>
    </row>
    <row r="13" spans="1:6" x14ac:dyDescent="0.25">
      <c r="A13" s="5">
        <v>43244</v>
      </c>
      <c r="B13" s="3">
        <v>1.25</v>
      </c>
      <c r="C13" s="3">
        <v>5</v>
      </c>
      <c r="D13" s="3"/>
      <c r="E13" s="3">
        <v>0.5</v>
      </c>
      <c r="F13" s="3">
        <v>6.75</v>
      </c>
    </row>
    <row r="14" spans="1:6" x14ac:dyDescent="0.25">
      <c r="A14" s="5">
        <v>43243</v>
      </c>
      <c r="B14" s="3">
        <v>0.5</v>
      </c>
      <c r="C14" s="3">
        <v>4</v>
      </c>
      <c r="D14" s="3"/>
      <c r="E14" s="3"/>
      <c r="F14" s="3">
        <v>4.5</v>
      </c>
    </row>
    <row r="15" spans="1:6" x14ac:dyDescent="0.25">
      <c r="A15" s="5">
        <v>43251</v>
      </c>
      <c r="B15" s="3">
        <v>2.75</v>
      </c>
      <c r="C15" s="3">
        <v>4</v>
      </c>
      <c r="D15" s="3"/>
      <c r="E15" s="3"/>
      <c r="F15" s="3">
        <v>6.75</v>
      </c>
    </row>
    <row r="16" spans="1:6" x14ac:dyDescent="0.25">
      <c r="A16" s="5">
        <v>43250</v>
      </c>
      <c r="B16" s="3">
        <v>0.75</v>
      </c>
      <c r="C16" s="3">
        <v>3</v>
      </c>
      <c r="D16" s="3"/>
      <c r="E16" s="3"/>
      <c r="F16" s="3">
        <v>3.75</v>
      </c>
    </row>
    <row r="17" spans="1:6" x14ac:dyDescent="0.25">
      <c r="A17" s="5">
        <v>43249</v>
      </c>
      <c r="B17" s="3">
        <v>1.5</v>
      </c>
      <c r="C17" s="3">
        <v>4</v>
      </c>
      <c r="D17" s="3"/>
      <c r="E17" s="3">
        <v>0.5</v>
      </c>
      <c r="F17" s="3">
        <v>6</v>
      </c>
    </row>
    <row r="18" spans="1:6" x14ac:dyDescent="0.25">
      <c r="A18" s="5">
        <v>43256</v>
      </c>
      <c r="B18" s="3">
        <v>3</v>
      </c>
      <c r="C18" s="3">
        <v>3.5</v>
      </c>
      <c r="D18" s="3"/>
      <c r="E18" s="3"/>
      <c r="F18" s="3">
        <v>6.5</v>
      </c>
    </row>
    <row r="19" spans="1:6" x14ac:dyDescent="0.25">
      <c r="A19" s="5">
        <v>43252</v>
      </c>
      <c r="B19" s="3">
        <v>2.25</v>
      </c>
      <c r="C19" s="3">
        <v>2.5</v>
      </c>
      <c r="D19" s="3"/>
      <c r="E19" s="3">
        <v>0.5</v>
      </c>
      <c r="F19" s="3">
        <v>5.25</v>
      </c>
    </row>
    <row r="20" spans="1:6" x14ac:dyDescent="0.25">
      <c r="A20" s="5" t="s">
        <v>49</v>
      </c>
      <c r="B20" s="3">
        <v>15</v>
      </c>
      <c r="C20" s="3">
        <v>52.25</v>
      </c>
      <c r="D20" s="3">
        <v>13</v>
      </c>
      <c r="E20" s="3">
        <v>3.5</v>
      </c>
      <c r="F20" s="3">
        <v>83.75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A2" sqref="A2"/>
    </sheetView>
  </sheetViews>
  <sheetFormatPr defaultColWidth="11.42578125"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13</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2018-06-05T18:37:21Z</dcterms:modified>
</cp:coreProperties>
</file>