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3" i="1"/>
  <c r="B22" i="1"/>
  <c r="B21" i="1"/>
  <c r="B24" i="1"/>
  <c r="B25" i="1"/>
  <c r="B26" i="1"/>
  <c r="B27" i="1"/>
  <c r="B28" i="1"/>
  <c r="B29" i="1"/>
  <c r="B30" i="1"/>
  <c r="B31" i="1"/>
  <c r="B32" i="1"/>
  <c r="B33" i="1"/>
</calcChain>
</file>

<file path=xl/sharedStrings.xml><?xml version="1.0" encoding="utf-8"?>
<sst xmlns="http://schemas.openxmlformats.org/spreadsheetml/2006/main" count="92" uniqueCount="55">
  <si>
    <t>Description</t>
  </si>
  <si>
    <t>Remarques/problèmes</t>
  </si>
  <si>
    <t>Jour</t>
  </si>
  <si>
    <t>Temps [h]</t>
  </si>
  <si>
    <t>Type</t>
  </si>
  <si>
    <t>Types de tâches</t>
  </si>
  <si>
    <t>Analyse</t>
  </si>
  <si>
    <t>Implémentation</t>
  </si>
  <si>
    <t>Tests</t>
  </si>
  <si>
    <t>Documentation</t>
  </si>
  <si>
    <t>Absence</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</si>
  <si>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</si>
  <si>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</si>
  <si>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</si>
  <si>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</si>
  <si>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</si>
  <si>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</si>
  <si>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</si>
  <si>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</si>
  <si>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</si>
  <si>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</si>
  <si>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</si>
  <si>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</si>
  <si>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</si>
  <si>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</si>
  <si>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</si>
  <si>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</si>
  <si>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</si>
  <si>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</si>
  <si>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</si>
  <si>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</si>
  <si>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</si>
  <si>
    <t>J'ai travaillé sur la sélection des langues pour ajouter le vocabulaire. Quelques soucis persistent mais je les réglerai plus tard.</t>
  </si>
  <si>
    <t>Des soucis que je dois voir avec mon chef de projet comme réinitialiser la sélection ou changer de vocabulaire courant.</t>
  </si>
  <si>
    <t>J'ai travaillé sur la partie de la scène du jeu. J'ai aussi commencé à implémenter la classe concernant le professeur. J'ai écris quelques scénarios sur papier que je n'ai pas retranscrit dans ma documentation. A faire la semaine prochaine.</t>
  </si>
  <si>
    <t>Visite de l'expert Mr. Tièche pour voir l'avancement du projet. Il m'a donné quelques conseils concernant le journal de travail, la documentation ainsi que les commentaires du code.</t>
  </si>
  <si>
    <t>J'ai implémenté la fonction de mouvement pour le professeur. J'ai aussi affiché les blocs pour que les mots soient écris dessus.</t>
  </si>
  <si>
    <t xml:space="preserve">J'ai quelques questions pour mon chef de projet concernant l'affichage des mots sur les "pancartes". </t>
  </si>
  <si>
    <t>J'ai crée le MCD pour le projet. J'attends la validation de Mr. Carrel pour le mettre dans le document. J'ai fait la partie "Vue d'ensemble" de la documentation. J'ai aussi écris les différents scénarios possibles pour le prof.</t>
  </si>
  <si>
    <t>J'ai mis à jour le MCD dans la documentation et j'ai demandé à Mr. Carrel si c'était tout bon pour lui.</t>
  </si>
  <si>
    <t>J'ai pu voir Mr. Carrel pour lui poser les questions sur l'affichage des mots sur les boxes. J'ai quelques soucis concernant le code car je n'arrive pas très bien à visualiser comment implémenter ceci. J'ai posé quelques questions à Mr. Carrel par email et j'ai ensuite demandé de l'aide à Stuart s'il avait aussi une autre solution pour approcher le problème.</t>
  </si>
  <si>
    <t>Le problème n'étant toujours pas réglé, je vais voir cela demain durant la démo.</t>
  </si>
  <si>
    <t>Sprint Review du Sprint No 2, Le professeur. Quelques erreurs subsitent et deux objectifs du sprint n'ont pas été implémentés.</t>
  </si>
  <si>
    <t>Une démo est prévue pour les deux objectifs manquants.</t>
  </si>
  <si>
    <t>J'ai repris la documentation pour faire la stratégie de test. J'ai aussi complété la partie planification.</t>
  </si>
  <si>
    <t>J'ai pu mettre en place les mots. Après avoir implémenté ceci, j'ai commencé à coder les mots à prendre et la fabrication de l'avion. J'ai fini de mettre en place les deux objectifs, il ne reste plus que quelques détails pour paufiner le tout.</t>
  </si>
  <si>
    <t>J'ai écris la particularité après l'avoir regardé avec Mr. Carrel. J'ai complété la partie stratégie
 de test ainsi que le journal de bord.</t>
  </si>
  <si>
    <t>J'ai discuté avec Mr. Carrel pour l'affichage des boîtes avec les mots pour le prof. Il m'a aidé en améliorant ma solution pour simplifier la tâche.</t>
  </si>
  <si>
    <t>Suite à la discussion, je me suis mis à coder cette solution. J'ai d'ailleurs fini de mettre en place la solution. Il reste tout de même certains détails à régler tel que les mots viennent du voc choisi. J'ai aussi commenté le code pour ne pas trop perdre de temps.</t>
  </si>
  <si>
    <t>Grand Total</t>
  </si>
  <si>
    <t>Sprint Review du Sprint No 2 pour les éléments manquants (envoyer un avion en papier et ramasser un mot d'une box). Les deux scénarios ont été validés par Mr. Carrel. On a parlé du prochain sprint et des objectifs.</t>
  </si>
  <si>
    <t>J'ai travaillé sur l'implémentation de l'envoi du papier et les box. Cela fonctionne et je pense être prêt pour la démo. En ayant terminé un peu plus tôt que prévu, je travaille sur les élèves.</t>
  </si>
  <si>
    <t>J'ai avancé sur la documentation pour ne pas trop prendre de retard. J'ai aussi commenté le code car certaines parties devaient être commenté.</t>
  </si>
  <si>
    <t>J'ai implémenté les élèves avec les mots correctement placés. Ils bougent latéralement ainsi que la détection des avion. Cependant, la détection n'est pas entièrement précise. J'ai aussi implémenté un écran "Game Over" mais il n'est pas totalement fonctionnel. Je le laisse de côté car ce n'est pas une tâche principale.</t>
  </si>
  <si>
    <t>J'ai avancé sur la partie "Réalisation" de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</si>
</sst>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5" xfId="0" applyBorder="1" applyAlignment="1" applyProtection="1">
      <alignment horizontal="left" vertical="center" wrapText="1"/>
      <protection locked="0"/>
    </xf>
    <xf numFmtId="0" fontId="0" fillId="0" borderId="1" xfId="0" applyBorder="1" applyAlignment="1" applyProtection="1">
      <alignmen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5.726821759257" createdVersion="4" refreshedVersion="6" minRefreshableVersion="3" recordCount="27">
  <cacheSource type="worksheet">
    <worksheetSource ref="A1:D33" sheet="Journal"/>
  </cacheSource>
  <cacheFields count="4">
    <cacheField name="Jour" numFmtId="16">
      <sharedItems containsSemiMixedTypes="0" containsNonDate="0" containsDate="1" containsString="0" minDate="2018-01-01T00:00:00" maxDate="2018-05-26T00:00:00" count="11">
        <d v="2018-05-25T00:00:00"/>
        <d v="2018-05-24T00:00:00"/>
        <d v="2018-05-23T00:00:00"/>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5" maxValue="6.25"/>
    </cacheField>
    <cacheField name="Type" numFmtId="0">
      <sharedItems count="5">
        <s v="Implémentation"/>
        <s v="Analyse"/>
        <s v="Documentation"/>
        <s v="Meeting"/>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7">
  <r>
    <x v="0"/>
    <n v="21"/>
    <n v="1.75"/>
    <x v="0"/>
  </r>
  <r>
    <x v="0"/>
    <n v="21"/>
    <n v="0.5"/>
    <x v="1"/>
  </r>
  <r>
    <x v="0"/>
    <n v="21"/>
    <n v="3"/>
    <x v="2"/>
  </r>
  <r>
    <x v="1"/>
    <n v="21"/>
    <n v="1.25"/>
    <x v="2"/>
  </r>
  <r>
    <x v="1"/>
    <n v="21"/>
    <n v="5"/>
    <x v="0"/>
  </r>
  <r>
    <x v="1"/>
    <n v="21"/>
    <n v="0.5"/>
    <x v="3"/>
  </r>
  <r>
    <x v="2"/>
    <n v="21"/>
    <n v="4"/>
    <x v="0"/>
  </r>
  <r>
    <x v="2"/>
    <n v="21"/>
    <n v="0.5"/>
    <x v="2"/>
  </r>
  <r>
    <x v="3"/>
    <n v="21"/>
    <n v="2"/>
    <x v="0"/>
  </r>
  <r>
    <x v="3"/>
    <n v="21"/>
    <n v="3.5"/>
    <x v="1"/>
  </r>
  <r>
    <x v="3"/>
    <n v="21"/>
    <n v="0.5"/>
    <x v="3"/>
  </r>
  <r>
    <x v="4"/>
    <n v="20"/>
    <n v="1.25"/>
    <x v="0"/>
  </r>
  <r>
    <x v="4"/>
    <n v="20"/>
    <n v="4"/>
    <x v="0"/>
  </r>
  <r>
    <x v="5"/>
    <n v="20"/>
    <n v="6.25"/>
    <x v="0"/>
  </r>
  <r>
    <x v="5"/>
    <n v="20"/>
    <n v="0.5"/>
    <x v="3"/>
  </r>
  <r>
    <x v="6"/>
    <n v="20"/>
    <n v="4"/>
    <x v="0"/>
  </r>
  <r>
    <x v="6"/>
    <n v="20"/>
    <n v="0.5"/>
    <x v="1"/>
  </r>
  <r>
    <x v="7"/>
    <n v="20"/>
    <n v="6"/>
    <x v="0"/>
  </r>
  <r>
    <x v="8"/>
    <n v="19"/>
    <n v="1.5"/>
    <x v="1"/>
  </r>
  <r>
    <x v="8"/>
    <n v="19"/>
    <n v="2"/>
    <x v="1"/>
  </r>
  <r>
    <x v="8"/>
    <n v="19"/>
    <n v="1"/>
    <x v="1"/>
  </r>
  <r>
    <x v="9"/>
    <n v="19"/>
    <n v="1.5"/>
    <x v="1"/>
  </r>
  <r>
    <x v="9"/>
    <n v="19"/>
    <n v="0.5"/>
    <x v="3"/>
  </r>
  <r>
    <x v="9"/>
    <n v="19"/>
    <n v="0.5"/>
    <x v="1"/>
  </r>
  <r>
    <x v="9"/>
    <n v="19"/>
    <n v="0.5"/>
    <x v="3"/>
  </r>
  <r>
    <x v="9"/>
    <n v="19"/>
    <n v="2"/>
    <x v="1"/>
  </r>
  <r>
    <x v="9"/>
    <n v="19"/>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5" firstHeaderRow="1" firstDataRow="2" firstDataCol="1"/>
  <pivotFields count="4">
    <pivotField axis="axisRow" numFmtId="16" showAll="0">
      <items count="12">
        <item m="1" x="10"/>
        <item x="3"/>
        <item x="5"/>
        <item x="6"/>
        <item x="7"/>
        <item x="8"/>
        <item x="9"/>
        <item x="4"/>
        <item x="0"/>
        <item x="1"/>
        <item x="2"/>
        <item t="default"/>
      </items>
    </pivotField>
    <pivotField showAll="0"/>
    <pivotField dataField="1" showAll="0"/>
    <pivotField axis="axisCol" showAll="0">
      <items count="6">
        <item x="2"/>
        <item x="0"/>
        <item x="1"/>
        <item m="1" x="4"/>
        <item x="3"/>
        <item t="default"/>
      </items>
    </pivotField>
  </pivotFields>
  <rowFields count="1">
    <field x="0"/>
  </rowFields>
  <rowItems count="11">
    <i>
      <x v="1"/>
    </i>
    <i>
      <x v="2"/>
    </i>
    <i>
      <x v="3"/>
    </i>
    <i>
      <x v="4"/>
    </i>
    <i>
      <x v="5"/>
    </i>
    <i>
      <x v="6"/>
    </i>
    <i>
      <x v="7"/>
    </i>
    <i>
      <x v="8"/>
    </i>
    <i>
      <x v="9"/>
    </i>
    <i>
      <x v="10"/>
    </i>
    <i t="grand">
      <x/>
    </i>
  </rowItems>
  <colFields count="1">
    <field x="3"/>
  </colFields>
  <colItems count="5">
    <i>
      <x/>
    </i>
    <i>
      <x v="1"/>
    </i>
    <i>
      <x v="2"/>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4"/>
  <sheetViews>
    <sheetView tabSelected="1" workbookViewId="0">
      <selection activeCell="E3" sqref="E3"/>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11</v>
      </c>
      <c r="C1" s="9" t="s">
        <v>3</v>
      </c>
      <c r="D1" s="6" t="s">
        <v>4</v>
      </c>
      <c r="E1" s="24" t="s">
        <v>0</v>
      </c>
      <c r="F1" s="10" t="s">
        <v>1</v>
      </c>
    </row>
    <row r="2" spans="1:9" x14ac:dyDescent="0.25">
      <c r="A2" s="7">
        <v>43250</v>
      </c>
      <c r="B2" s="19">
        <f t="shared" ref="B2" si="0">WEEKNUM(A2)</f>
        <v>22</v>
      </c>
      <c r="C2" s="12">
        <v>0.75</v>
      </c>
      <c r="D2" s="22" t="s">
        <v>9</v>
      </c>
      <c r="E2" s="26" t="s">
        <v>54</v>
      </c>
      <c r="F2" s="23"/>
      <c r="I2" s="15"/>
    </row>
    <row r="3" spans="1:9" ht="60" x14ac:dyDescent="0.25">
      <c r="A3" s="7">
        <v>43250</v>
      </c>
      <c r="B3" s="19">
        <f t="shared" ref="B3" si="1">WEEKNUM(A3)</f>
        <v>22</v>
      </c>
      <c r="C3" s="12">
        <v>3</v>
      </c>
      <c r="D3" s="22" t="s">
        <v>7</v>
      </c>
      <c r="E3" s="26" t="s">
        <v>53</v>
      </c>
      <c r="F3" s="23"/>
      <c r="I3" s="15"/>
    </row>
    <row r="4" spans="1:9" ht="30" x14ac:dyDescent="0.25">
      <c r="A4" s="7">
        <v>43249</v>
      </c>
      <c r="B4" s="19">
        <f t="shared" ref="B4" si="2">WEEKNUM(A4)</f>
        <v>22</v>
      </c>
      <c r="C4" s="12">
        <v>1.5</v>
      </c>
      <c r="D4" s="22" t="s">
        <v>9</v>
      </c>
      <c r="E4" s="26" t="s">
        <v>52</v>
      </c>
      <c r="F4" s="23"/>
      <c r="I4" s="15"/>
    </row>
    <row r="5" spans="1:9" ht="45" x14ac:dyDescent="0.25">
      <c r="A5" s="7">
        <v>43249</v>
      </c>
      <c r="B5" s="19">
        <f t="shared" ref="B5" si="3">WEEKNUM(A5)</f>
        <v>22</v>
      </c>
      <c r="C5" s="12">
        <v>0.5</v>
      </c>
      <c r="D5" s="22" t="s">
        <v>13</v>
      </c>
      <c r="E5" s="26" t="s">
        <v>50</v>
      </c>
      <c r="F5" s="23"/>
      <c r="I5" s="15"/>
    </row>
    <row r="6" spans="1:9" ht="45" x14ac:dyDescent="0.25">
      <c r="A6" s="7">
        <v>43249</v>
      </c>
      <c r="B6" s="19">
        <f t="shared" ref="B6" si="4">WEEKNUM(A6)</f>
        <v>22</v>
      </c>
      <c r="C6" s="12">
        <v>4</v>
      </c>
      <c r="D6" s="22" t="s">
        <v>7</v>
      </c>
      <c r="E6" s="26" t="s">
        <v>51</v>
      </c>
      <c r="F6" s="23"/>
      <c r="I6" s="15"/>
    </row>
    <row r="7" spans="1:9" ht="45" x14ac:dyDescent="0.25">
      <c r="A7" s="7">
        <v>43245</v>
      </c>
      <c r="B7" s="19">
        <f t="shared" ref="B7" si="5">WEEKNUM(A7)</f>
        <v>21</v>
      </c>
      <c r="C7" s="12">
        <v>1.75</v>
      </c>
      <c r="D7" s="22" t="s">
        <v>7</v>
      </c>
      <c r="E7" s="26" t="s">
        <v>48</v>
      </c>
      <c r="F7" s="23"/>
      <c r="I7" s="15"/>
    </row>
    <row r="8" spans="1:9" ht="30" x14ac:dyDescent="0.25">
      <c r="A8" s="7">
        <v>43245</v>
      </c>
      <c r="B8" s="19">
        <f t="shared" ref="B8" si="6">WEEKNUM(A8)</f>
        <v>21</v>
      </c>
      <c r="C8" s="12">
        <v>0.5</v>
      </c>
      <c r="D8" s="22" t="s">
        <v>6</v>
      </c>
      <c r="E8" s="26" t="s">
        <v>47</v>
      </c>
      <c r="F8" s="23"/>
      <c r="I8" s="15"/>
    </row>
    <row r="9" spans="1:9" ht="30" x14ac:dyDescent="0.25">
      <c r="A9" s="7">
        <v>43245</v>
      </c>
      <c r="B9" s="19">
        <f t="shared" ref="B9" si="7">WEEKNUM(A9)</f>
        <v>21</v>
      </c>
      <c r="C9" s="12">
        <v>3</v>
      </c>
      <c r="D9" s="22" t="s">
        <v>9</v>
      </c>
      <c r="E9" s="26" t="s">
        <v>46</v>
      </c>
      <c r="F9" s="23"/>
      <c r="I9" s="15"/>
    </row>
    <row r="10" spans="1:9" ht="30" x14ac:dyDescent="0.25">
      <c r="A10" s="7">
        <v>43244</v>
      </c>
      <c r="B10" s="19">
        <f t="shared" ref="B10" si="8">WEEKNUM(A10)</f>
        <v>21</v>
      </c>
      <c r="C10" s="12">
        <v>1.25</v>
      </c>
      <c r="D10" s="13" t="s">
        <v>9</v>
      </c>
      <c r="E10" s="25" t="s">
        <v>44</v>
      </c>
      <c r="F10" s="14"/>
      <c r="I10" s="15"/>
    </row>
    <row r="11" spans="1:9" ht="45" x14ac:dyDescent="0.25">
      <c r="A11" s="7">
        <v>43244</v>
      </c>
      <c r="B11" s="19">
        <f t="shared" ref="B11" si="9">WEEKNUM(A11)</f>
        <v>21</v>
      </c>
      <c r="C11" s="12">
        <v>5</v>
      </c>
      <c r="D11" s="13" t="s">
        <v>7</v>
      </c>
      <c r="E11" s="14" t="s">
        <v>45</v>
      </c>
      <c r="F11" s="14"/>
      <c r="I11" s="15"/>
    </row>
    <row r="12" spans="1:9" ht="30" x14ac:dyDescent="0.25">
      <c r="A12" s="7">
        <v>43244</v>
      </c>
      <c r="B12" s="19">
        <f t="shared" ref="B12" si="10">WEEKNUM(A12)</f>
        <v>21</v>
      </c>
      <c r="C12" s="12">
        <v>0.5</v>
      </c>
      <c r="D12" s="13" t="s">
        <v>13</v>
      </c>
      <c r="E12" s="14" t="s">
        <v>42</v>
      </c>
      <c r="F12" s="14" t="s">
        <v>43</v>
      </c>
      <c r="I12" s="15"/>
    </row>
    <row r="13" spans="1:9" ht="60" x14ac:dyDescent="0.25">
      <c r="A13" s="7">
        <v>43243</v>
      </c>
      <c r="B13" s="19">
        <f t="shared" ref="B13" si="11">WEEKNUM(A13)</f>
        <v>21</v>
      </c>
      <c r="C13" s="12">
        <v>4</v>
      </c>
      <c r="D13" s="13" t="s">
        <v>7</v>
      </c>
      <c r="E13" s="14" t="s">
        <v>40</v>
      </c>
      <c r="F13" s="14" t="s">
        <v>41</v>
      </c>
      <c r="I13" s="15"/>
    </row>
    <row r="14" spans="1:9" ht="30" x14ac:dyDescent="0.25">
      <c r="A14" s="7">
        <v>43243</v>
      </c>
      <c r="B14" s="19">
        <f t="shared" ref="B14" si="12">WEEKNUM(A14)</f>
        <v>21</v>
      </c>
      <c r="C14" s="12">
        <v>0.5</v>
      </c>
      <c r="D14" s="13" t="s">
        <v>9</v>
      </c>
      <c r="E14" s="14" t="s">
        <v>39</v>
      </c>
      <c r="F14" s="14"/>
      <c r="I14" s="15"/>
    </row>
    <row r="15" spans="1:9" ht="30" x14ac:dyDescent="0.25">
      <c r="A15" s="7">
        <v>43242</v>
      </c>
      <c r="B15" s="19">
        <f t="shared" ref="B15:B23" si="13">WEEKNUM(A15)</f>
        <v>21</v>
      </c>
      <c r="C15" s="12">
        <v>2</v>
      </c>
      <c r="D15" s="13" t="s">
        <v>7</v>
      </c>
      <c r="E15" s="14" t="s">
        <v>36</v>
      </c>
      <c r="F15" s="14" t="s">
        <v>37</v>
      </c>
      <c r="I15" s="15"/>
    </row>
    <row r="16" spans="1:9" ht="45" x14ac:dyDescent="0.25">
      <c r="A16" s="7">
        <v>43242</v>
      </c>
      <c r="B16" s="19">
        <f t="shared" si="13"/>
        <v>21</v>
      </c>
      <c r="C16" s="12">
        <v>3.5</v>
      </c>
      <c r="D16" s="13" t="s">
        <v>6</v>
      </c>
      <c r="E16" s="14" t="s">
        <v>38</v>
      </c>
      <c r="F16" s="14"/>
      <c r="I16" s="15"/>
    </row>
    <row r="17" spans="1:9" ht="45" x14ac:dyDescent="0.25">
      <c r="A17" s="7">
        <v>43242</v>
      </c>
      <c r="B17" s="19">
        <f t="shared" si="13"/>
        <v>21</v>
      </c>
      <c r="C17" s="12">
        <v>0.5</v>
      </c>
      <c r="D17" s="13" t="s">
        <v>13</v>
      </c>
      <c r="E17" s="14" t="s">
        <v>35</v>
      </c>
      <c r="F17" s="14"/>
      <c r="I17" s="15"/>
    </row>
    <row r="18" spans="1:9" ht="45" x14ac:dyDescent="0.25">
      <c r="A18" s="7">
        <v>43238</v>
      </c>
      <c r="B18" s="19">
        <f t="shared" si="13"/>
        <v>20</v>
      </c>
      <c r="C18" s="12">
        <v>1.25</v>
      </c>
      <c r="D18" s="13" t="s">
        <v>7</v>
      </c>
      <c r="E18" s="14" t="s">
        <v>34</v>
      </c>
      <c r="F18" s="14"/>
      <c r="I18" s="15"/>
    </row>
    <row r="19" spans="1:9" ht="30" x14ac:dyDescent="0.25">
      <c r="A19" s="7">
        <v>43238</v>
      </c>
      <c r="B19" s="19">
        <f t="shared" si="13"/>
        <v>20</v>
      </c>
      <c r="C19" s="12">
        <v>4</v>
      </c>
      <c r="D19" s="13" t="s">
        <v>7</v>
      </c>
      <c r="E19" s="14" t="s">
        <v>32</v>
      </c>
      <c r="F19" s="14" t="s">
        <v>33</v>
      </c>
      <c r="I19" s="15"/>
    </row>
    <row r="20" spans="1:9" ht="45" x14ac:dyDescent="0.25">
      <c r="A20" s="7">
        <v>43237</v>
      </c>
      <c r="B20" s="19">
        <f t="shared" si="13"/>
        <v>20</v>
      </c>
      <c r="C20" s="12">
        <v>6.25</v>
      </c>
      <c r="D20" s="13" t="s">
        <v>7</v>
      </c>
      <c r="E20" s="14" t="s">
        <v>31</v>
      </c>
      <c r="F20" s="14" t="s">
        <v>30</v>
      </c>
      <c r="I20" s="15"/>
    </row>
    <row r="21" spans="1:9" ht="30" x14ac:dyDescent="0.25">
      <c r="A21" s="7">
        <v>43237</v>
      </c>
      <c r="B21" s="19">
        <f t="shared" si="13"/>
        <v>20</v>
      </c>
      <c r="C21" s="12">
        <v>0.5</v>
      </c>
      <c r="D21" s="13" t="s">
        <v>13</v>
      </c>
      <c r="E21" s="14" t="s">
        <v>29</v>
      </c>
      <c r="F21" s="14"/>
      <c r="I21" s="15"/>
    </row>
    <row r="22" spans="1:9" ht="30" x14ac:dyDescent="0.25">
      <c r="A22" s="7">
        <v>43236</v>
      </c>
      <c r="B22" s="19">
        <f t="shared" si="13"/>
        <v>20</v>
      </c>
      <c r="C22" s="12">
        <v>4</v>
      </c>
      <c r="D22" s="13" t="s">
        <v>7</v>
      </c>
      <c r="E22" s="14" t="s">
        <v>26</v>
      </c>
      <c r="F22" s="14" t="s">
        <v>27</v>
      </c>
      <c r="I22" s="15"/>
    </row>
    <row r="23" spans="1:9" x14ac:dyDescent="0.25">
      <c r="A23" s="7">
        <v>43236</v>
      </c>
      <c r="B23" s="19">
        <f t="shared" si="13"/>
        <v>20</v>
      </c>
      <c r="C23" s="12">
        <v>0.5</v>
      </c>
      <c r="D23" s="13" t="s">
        <v>6</v>
      </c>
      <c r="E23" s="14" t="s">
        <v>28</v>
      </c>
      <c r="F23" s="14"/>
      <c r="I23" s="15"/>
    </row>
    <row r="24" spans="1:9" ht="60" x14ac:dyDescent="0.25">
      <c r="A24" s="7">
        <v>43235</v>
      </c>
      <c r="B24" s="19">
        <f t="shared" ref="B24" si="14">WEEKNUM(A24)</f>
        <v>20</v>
      </c>
      <c r="C24" s="12">
        <v>6</v>
      </c>
      <c r="D24" s="13" t="s">
        <v>7</v>
      </c>
      <c r="E24" s="14" t="s">
        <v>24</v>
      </c>
      <c r="F24" s="14" t="s">
        <v>25</v>
      </c>
      <c r="I24" s="15"/>
    </row>
    <row r="25" spans="1:9" ht="45" x14ac:dyDescent="0.25">
      <c r="A25" s="7">
        <v>43229</v>
      </c>
      <c r="B25" s="19">
        <f t="shared" ref="B25:B33" si="15">WEEKNUM(A25)</f>
        <v>19</v>
      </c>
      <c r="C25" s="12">
        <v>1.5</v>
      </c>
      <c r="D25" s="13" t="s">
        <v>6</v>
      </c>
      <c r="E25" s="14" t="s">
        <v>23</v>
      </c>
      <c r="F25" s="14"/>
      <c r="I25" s="15"/>
    </row>
    <row r="26" spans="1:9" ht="45" x14ac:dyDescent="0.25">
      <c r="A26" s="7">
        <v>43229</v>
      </c>
      <c r="B26" s="19">
        <f t="shared" si="15"/>
        <v>19</v>
      </c>
      <c r="C26" s="12">
        <v>2</v>
      </c>
      <c r="D26" s="13" t="s">
        <v>6</v>
      </c>
      <c r="E26" s="14" t="s">
        <v>22</v>
      </c>
      <c r="F26" s="14"/>
      <c r="I26" s="15"/>
    </row>
    <row r="27" spans="1:9" x14ac:dyDescent="0.25">
      <c r="A27" s="7">
        <v>43229</v>
      </c>
      <c r="B27" s="19">
        <f t="shared" si="15"/>
        <v>19</v>
      </c>
      <c r="C27" s="12">
        <v>1</v>
      </c>
      <c r="D27" s="13" t="s">
        <v>6</v>
      </c>
      <c r="E27" s="14" t="s">
        <v>21</v>
      </c>
      <c r="F27" s="14"/>
      <c r="I27" s="15"/>
    </row>
    <row r="28" spans="1:9" x14ac:dyDescent="0.25">
      <c r="A28" s="7">
        <v>43228</v>
      </c>
      <c r="B28" s="19">
        <f t="shared" si="15"/>
        <v>19</v>
      </c>
      <c r="C28" s="12">
        <v>1.5</v>
      </c>
      <c r="D28" s="13" t="s">
        <v>6</v>
      </c>
      <c r="E28" s="14" t="s">
        <v>20</v>
      </c>
      <c r="F28" s="14"/>
      <c r="I28" s="15"/>
    </row>
    <row r="29" spans="1:9" x14ac:dyDescent="0.25">
      <c r="A29" s="7">
        <v>43228</v>
      </c>
      <c r="B29" s="19">
        <f t="shared" si="15"/>
        <v>19</v>
      </c>
      <c r="C29" s="12">
        <v>0.5</v>
      </c>
      <c r="D29" s="13" t="s">
        <v>13</v>
      </c>
      <c r="E29" s="14" t="s">
        <v>18</v>
      </c>
      <c r="F29" s="14"/>
      <c r="I29" s="15"/>
    </row>
    <row r="30" spans="1:9" x14ac:dyDescent="0.25">
      <c r="A30" s="7">
        <v>43228</v>
      </c>
      <c r="B30" s="19">
        <f t="shared" si="15"/>
        <v>19</v>
      </c>
      <c r="C30" s="12">
        <v>0.5</v>
      </c>
      <c r="D30" s="13" t="s">
        <v>6</v>
      </c>
      <c r="E30" s="14" t="s">
        <v>19</v>
      </c>
      <c r="F30" s="14"/>
      <c r="I30" s="15"/>
    </row>
    <row r="31" spans="1:9" ht="30" x14ac:dyDescent="0.25">
      <c r="A31" s="7">
        <v>43228</v>
      </c>
      <c r="B31" s="19">
        <f t="shared" si="15"/>
        <v>19</v>
      </c>
      <c r="C31" s="12">
        <v>0.5</v>
      </c>
      <c r="D31" s="13" t="s">
        <v>13</v>
      </c>
      <c r="E31" s="14" t="s">
        <v>14</v>
      </c>
      <c r="F31" s="14" t="s">
        <v>15</v>
      </c>
      <c r="I31" s="15"/>
    </row>
    <row r="32" spans="1:9" x14ac:dyDescent="0.25">
      <c r="A32" s="7">
        <v>43228</v>
      </c>
      <c r="B32" s="19">
        <f t="shared" si="15"/>
        <v>19</v>
      </c>
      <c r="C32" s="12">
        <v>2</v>
      </c>
      <c r="D32" s="13" t="s">
        <v>6</v>
      </c>
      <c r="E32" s="14" t="s">
        <v>16</v>
      </c>
      <c r="F32" s="14"/>
      <c r="I32" s="15"/>
    </row>
    <row r="33" spans="1:9" ht="30" x14ac:dyDescent="0.25">
      <c r="A33" s="7">
        <v>43228</v>
      </c>
      <c r="B33" s="19">
        <f t="shared" si="15"/>
        <v>19</v>
      </c>
      <c r="C33" s="12">
        <v>1</v>
      </c>
      <c r="D33" s="13" t="s">
        <v>7</v>
      </c>
      <c r="E33" s="14" t="s">
        <v>17</v>
      </c>
      <c r="F33" s="14"/>
      <c r="I33" s="15"/>
    </row>
    <row r="34" spans="1:9" x14ac:dyDescent="0.25">
      <c r="A34" s="21"/>
    </row>
  </sheetData>
  <sheetProtection selectLockedCells="1"/>
  <sortState ref="A4:F5">
    <sortCondition ref="A4"/>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D2:D33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5"/>
  <sheetViews>
    <sheetView workbookViewId="0">
      <selection activeCell="C11" sqref="C11"/>
    </sheetView>
  </sheetViews>
  <sheetFormatPr baseColWidth="10" defaultColWidth="11.42578125" defaultRowHeight="15" x14ac:dyDescent="0.25"/>
  <cols>
    <col min="1" max="1" width="20" bestFit="1" customWidth="1"/>
    <col min="2" max="2" width="14.85546875" bestFit="1" customWidth="1"/>
    <col min="3" max="3" width="15.5703125" bestFit="1" customWidth="1"/>
    <col min="4" max="4" width="8" bestFit="1" customWidth="1"/>
    <col min="5" max="5" width="8.5703125" bestFit="1" customWidth="1"/>
    <col min="6" max="6" width="11.28515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12</v>
      </c>
    </row>
    <row r="4" spans="1:6" x14ac:dyDescent="0.25">
      <c r="B4" t="s">
        <v>9</v>
      </c>
      <c r="C4" t="s">
        <v>7</v>
      </c>
      <c r="D4" t="s">
        <v>6</v>
      </c>
      <c r="E4" t="s">
        <v>13</v>
      </c>
      <c r="F4" t="s">
        <v>49</v>
      </c>
    </row>
    <row r="5" spans="1:6" x14ac:dyDescent="0.25">
      <c r="A5" s="5">
        <v>43242</v>
      </c>
      <c r="B5" s="3"/>
      <c r="C5" s="3">
        <v>2</v>
      </c>
      <c r="D5" s="3">
        <v>3.5</v>
      </c>
      <c r="E5" s="3">
        <v>0.5</v>
      </c>
      <c r="F5" s="3">
        <v>6</v>
      </c>
    </row>
    <row r="6" spans="1:6" x14ac:dyDescent="0.25">
      <c r="A6" s="5">
        <v>43237</v>
      </c>
      <c r="B6" s="3"/>
      <c r="C6" s="3">
        <v>6.25</v>
      </c>
      <c r="D6" s="3"/>
      <c r="E6" s="3">
        <v>0.5</v>
      </c>
      <c r="F6" s="3">
        <v>6.75</v>
      </c>
    </row>
    <row r="7" spans="1:6" x14ac:dyDescent="0.25">
      <c r="A7" s="5">
        <v>43236</v>
      </c>
      <c r="B7" s="3"/>
      <c r="C7" s="3">
        <v>4</v>
      </c>
      <c r="D7" s="3">
        <v>0.5</v>
      </c>
      <c r="E7" s="3"/>
      <c r="F7" s="3">
        <v>4.5</v>
      </c>
    </row>
    <row r="8" spans="1:6" x14ac:dyDescent="0.25">
      <c r="A8" s="5">
        <v>43235</v>
      </c>
      <c r="B8" s="3"/>
      <c r="C8" s="3">
        <v>6</v>
      </c>
      <c r="D8" s="3"/>
      <c r="E8" s="3"/>
      <c r="F8" s="3">
        <v>6</v>
      </c>
    </row>
    <row r="9" spans="1:6" x14ac:dyDescent="0.25">
      <c r="A9" s="5">
        <v>43229</v>
      </c>
      <c r="B9" s="3"/>
      <c r="C9" s="3"/>
      <c r="D9" s="3">
        <v>4.5</v>
      </c>
      <c r="E9" s="3"/>
      <c r="F9" s="3">
        <v>4.5</v>
      </c>
    </row>
    <row r="10" spans="1:6" x14ac:dyDescent="0.25">
      <c r="A10" s="5">
        <v>43228</v>
      </c>
      <c r="B10" s="3"/>
      <c r="C10" s="3">
        <v>1</v>
      </c>
      <c r="D10" s="3">
        <v>4</v>
      </c>
      <c r="E10" s="3">
        <v>1</v>
      </c>
      <c r="F10" s="3">
        <v>6</v>
      </c>
    </row>
    <row r="11" spans="1:6" x14ac:dyDescent="0.25">
      <c r="A11" s="5">
        <v>43238</v>
      </c>
      <c r="B11" s="3"/>
      <c r="C11" s="3">
        <v>5.25</v>
      </c>
      <c r="D11" s="3"/>
      <c r="E11" s="3"/>
      <c r="F11" s="3">
        <v>5.25</v>
      </c>
    </row>
    <row r="12" spans="1:6" x14ac:dyDescent="0.25">
      <c r="A12" s="5">
        <v>43245</v>
      </c>
      <c r="B12" s="3">
        <v>3</v>
      </c>
      <c r="C12" s="3">
        <v>1.75</v>
      </c>
      <c r="D12" s="3">
        <v>0.5</v>
      </c>
      <c r="E12" s="3"/>
      <c r="F12" s="3">
        <v>5.25</v>
      </c>
    </row>
    <row r="13" spans="1:6" x14ac:dyDescent="0.25">
      <c r="A13" s="5">
        <v>43244</v>
      </c>
      <c r="B13" s="3">
        <v>1.25</v>
      </c>
      <c r="C13" s="3">
        <v>5</v>
      </c>
      <c r="D13" s="3"/>
      <c r="E13" s="3">
        <v>0.5</v>
      </c>
      <c r="F13" s="3">
        <v>6.75</v>
      </c>
    </row>
    <row r="14" spans="1:6" x14ac:dyDescent="0.25">
      <c r="A14" s="5">
        <v>43243</v>
      </c>
      <c r="B14" s="3">
        <v>0.5</v>
      </c>
      <c r="C14" s="3">
        <v>4</v>
      </c>
      <c r="D14" s="3"/>
      <c r="E14" s="3"/>
      <c r="F14" s="3">
        <v>4.5</v>
      </c>
    </row>
    <row r="15" spans="1:6" x14ac:dyDescent="0.25">
      <c r="A15" s="5" t="s">
        <v>49</v>
      </c>
      <c r="B15" s="3">
        <v>4.75</v>
      </c>
      <c r="C15" s="3">
        <v>35.25</v>
      </c>
      <c r="D15" s="3">
        <v>13</v>
      </c>
      <c r="E15" s="3">
        <v>2.5</v>
      </c>
      <c r="F15" s="3">
        <v>55.5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13</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2018-05-31T06:14:55Z</dcterms:modified>
</cp:coreProperties>
</file>