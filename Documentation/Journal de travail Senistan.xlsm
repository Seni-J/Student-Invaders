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5" i="1"/>
  <c r="B34" i="1"/>
  <c r="B33" i="1"/>
  <c r="B36" i="1"/>
  <c r="B37" i="1"/>
  <c r="B38" i="1"/>
  <c r="B39" i="1"/>
  <c r="B40" i="1"/>
  <c r="B41" i="1"/>
  <c r="B42" i="1"/>
  <c r="B43" i="1"/>
  <c r="B44" i="1"/>
  <c r="B45" i="1"/>
</calcChain>
</file>

<file path=xl/sharedStrings.xml><?xml version="1.0" encoding="utf-8"?>
<sst xmlns="http://schemas.openxmlformats.org/spreadsheetml/2006/main" count="121" uniqueCount="71">
  <si>
    <t>Description</t>
  </si>
  <si>
    <t>Remarques/problèmes</t>
  </si>
  <si>
    <t>Jour</t>
  </si>
  <si>
    <t>Temps [h]</t>
  </si>
  <si>
    <t>Type</t>
  </si>
  <si>
    <t>Types de tâches</t>
  </si>
  <si>
    <t>Analyse</t>
  </si>
  <si>
    <t>Implémentation</t>
  </si>
  <si>
    <t>Tests</t>
  </si>
  <si>
    <t>Documentation</t>
  </si>
  <si>
    <t>Absence</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</si>
  <si>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</si>
  <si>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</si>
  <si>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</si>
  <si>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</si>
  <si>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</si>
  <si>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</si>
  <si>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</si>
  <si>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</si>
  <si>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</si>
  <si>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</si>
  <si>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</si>
  <si>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</si>
  <si>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</si>
  <si>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</si>
  <si>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</si>
  <si>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</si>
  <si>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</si>
  <si>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</si>
  <si>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</si>
  <si>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</si>
  <si>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</si>
  <si>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</si>
  <si>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</si>
  <si>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</si>
  <si>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</si>
  <si>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</si>
  <si>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</si>
  <si>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</si>
  <si>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</si>
  <si>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</si>
  <si>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</si>
  <si>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</si>
  <si>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</si>
  <si>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</si>
  <si>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</si>
  <si>
    <t>J'ai écris la particularité après l'avoir regardé avec Mr. Carrel. J'ai complété la partie stratégie
 de test ainsi que le journal de bord.</t>
  </si>
  <si>
    <t>J'ai discuté avec Mr. Carrel pour l'affichage des boîtes avec les mots pour le prof. Il m'a aidé en améliorant ma solution pour simplifier la tâche.</t>
  </si>
  <si>
    <t>Suite à la discussion, je me suis mis à coder cette solution. J'ai d'ailleurs fini de mettre en place la solution. Il reste tout de même certains détails à régler tel que les mots viennent du voc choisi. J'ai aussi commenté le code pour ne pas trop perdre de temps.</t>
  </si>
  <si>
    <t>Grand Total</t>
  </si>
  <si>
    <t>Sprint Review du Sprint No 2 pour les éléments manquants (envoyer un avion en papier et ramasser un mot d'une box). Les deux scénarios ont été validés par Mr. Carrel. On a parlé du prochain sprint et des objectifs.</t>
  </si>
  <si>
    <t>J'ai travaillé sur l'implémentation de l'envoi du papier et les box. Cela fonctionne et je pense être prêt pour la démo. En ayant terminé un peu plus tôt que prévu, je travaille sur les élèves.</t>
  </si>
  <si>
    <t>J'ai avancé sur la documentation pour ne pas trop prendre de retard. J'ai aussi commenté le code car certaines parties devaient être commenté.</t>
  </si>
  <si>
    <t>J'ai implémenté les élèves avec les mots correctement placés. Ils bougent latéralement ainsi que la détection des avion. Cependant, la détection n'est pas entièrement précise. J'ai aussi implémenté un écran "Game Over" mais il n'est pas totalement fonctionnel. Je le laisse de côté car ce n'est pas une tâche principale.</t>
  </si>
  <si>
    <t>J'ai avancé sur la partie "Réalisation" de la documentation.</t>
  </si>
  <si>
    <t>Je m'occupe du "Game Over" sur le jeu. J'ai aussi un problème concernant la fuite de mémoire qui fait planter mon application. Autrement, tout à l'air bon pour le prochain sprint.</t>
  </si>
  <si>
    <t>Sprint Review du Sprint No 3 concernant les élèves. Les différents scénarios ont été validés par Mr. Carrel. On a aussi modifié le prochain sprint et un des sprints est annulé.</t>
  </si>
  <si>
    <t>J'ai avancé sur une partie de la documentation. J'ai aussi mis en place le "Lisez-moi" sur Github pour le manuel d'installation.</t>
  </si>
  <si>
    <t>Rédaction de la deuxième particularité dans la documentation ainsi que certains précédents points qui ont été revus.</t>
  </si>
  <si>
    <t xml:space="preserve">J'ai réglé le souci du memory leak. Le jeu ne plante plus comme avant. </t>
  </si>
  <si>
    <t>Cela m'a pris du temps à debug malheureusement car je ne trouvais pas le problème en premier lieu.</t>
  </si>
  <si>
    <t>J'ai étoffé ma particularité 2 et j'ai aussi fait la partie test.</t>
  </si>
  <si>
    <t>J'ai mis en place rapidement un système de pause. Après cela, j'ai commencé la mise en place du Webservice. J'ai déjà les langues et les vocs en place, il ne reste plus que les mots du vocabulaire sélectionné.</t>
  </si>
  <si>
    <t>J'ai rattrapé 30 minutes à 13h suite à ces minutes perdues à cause de l'entretien.</t>
  </si>
  <si>
    <t>J'ai continué la documentation. J'ai fais le résumé du TPI.</t>
  </si>
  <si>
    <t>J'ai fais un schéma que je ne vais au final pas mettre dans le résumé car il ne doit pas y avoir d'image. Cependant, je vais le garder pour l'utiliser dans la présentation.</t>
  </si>
  <si>
    <t xml:space="preserve">J'ai effectué différents tests avec le webservice. </t>
  </si>
  <si>
    <t>Les élèves sont affichés en noir ainsi que les mots du prof.</t>
  </si>
  <si>
    <t>J'ai mis en place le webservice pour les mots.</t>
  </si>
  <si>
    <t>Préparation du rendu final. J'ai finis toute la documentation.</t>
  </si>
  <si>
    <t>Sprint review No 4. J'ai regardé avec Mr. Carrel les bugs restants. On a aussi discuté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</si>
</sst>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5" xfId="0" applyBorder="1" applyAlignment="1" applyProtection="1">
      <alignment horizontal="left" vertical="center" wrapText="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7.821415856481" createdVersion="4" refreshedVersion="6" minRefreshableVersion="3" recordCount="42">
  <cacheSource type="worksheet">
    <worksheetSource ref="A1:D45" sheet="Journal"/>
  </cacheSource>
  <cacheFields count="4">
    <cacheField name="Jour" numFmtId="16">
      <sharedItems containsSemiMixedTypes="0" containsNonDate="0" containsDate="1" containsString="0" minDate="2018-01-01T00:00:00" maxDate="2018-06-07T00:00:00" count="17">
        <d v="2018-06-06T00:00:00"/>
        <d v="2018-06-05T00:00:00"/>
        <d v="2018-06-01T00:00:00"/>
        <d v="2018-05-31T00:00:00"/>
        <d v="2018-05-30T00:00:00"/>
        <d v="2018-05-29T00:00:00"/>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3"/>
    </cacheField>
    <cacheField name="Temps [h]" numFmtId="2">
      <sharedItems containsSemiMixedTypes="0" containsString="0" containsNumber="1" minValue="0.5" maxValue="6.25"/>
    </cacheField>
    <cacheField name="Type" numFmtId="0">
      <sharedItems count="5">
        <s v="Implémentation"/>
        <s v="Tests"/>
        <s v="Documentation"/>
        <s v="Meeting"/>
        <s v="Analy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
  <r>
    <x v="0"/>
    <n v="23"/>
    <n v="1.5"/>
    <x v="0"/>
  </r>
  <r>
    <x v="0"/>
    <n v="23"/>
    <n v="1.5"/>
    <x v="1"/>
  </r>
  <r>
    <x v="0"/>
    <n v="23"/>
    <n v="2.5"/>
    <x v="2"/>
  </r>
  <r>
    <x v="1"/>
    <n v="23"/>
    <n v="3.5"/>
    <x v="0"/>
  </r>
  <r>
    <x v="1"/>
    <n v="23"/>
    <n v="3"/>
    <x v="2"/>
  </r>
  <r>
    <x v="2"/>
    <n v="22"/>
    <n v="2.25"/>
    <x v="2"/>
  </r>
  <r>
    <x v="2"/>
    <n v="22"/>
    <n v="2.5"/>
    <x v="0"/>
  </r>
  <r>
    <x v="2"/>
    <n v="22"/>
    <n v="0.5"/>
    <x v="3"/>
  </r>
  <r>
    <x v="3"/>
    <n v="22"/>
    <n v="2.75"/>
    <x v="2"/>
  </r>
  <r>
    <x v="3"/>
    <n v="22"/>
    <n v="4"/>
    <x v="0"/>
  </r>
  <r>
    <x v="4"/>
    <n v="22"/>
    <n v="0.75"/>
    <x v="2"/>
  </r>
  <r>
    <x v="4"/>
    <n v="22"/>
    <n v="3"/>
    <x v="0"/>
  </r>
  <r>
    <x v="5"/>
    <n v="22"/>
    <n v="1.5"/>
    <x v="2"/>
  </r>
  <r>
    <x v="5"/>
    <n v="22"/>
    <n v="0.5"/>
    <x v="3"/>
  </r>
  <r>
    <x v="5"/>
    <n v="22"/>
    <n v="4"/>
    <x v="0"/>
  </r>
  <r>
    <x v="6"/>
    <n v="21"/>
    <n v="1.75"/>
    <x v="0"/>
  </r>
  <r>
    <x v="6"/>
    <n v="21"/>
    <n v="0.5"/>
    <x v="4"/>
  </r>
  <r>
    <x v="6"/>
    <n v="21"/>
    <n v="3"/>
    <x v="2"/>
  </r>
  <r>
    <x v="7"/>
    <n v="21"/>
    <n v="1.25"/>
    <x v="2"/>
  </r>
  <r>
    <x v="7"/>
    <n v="21"/>
    <n v="5"/>
    <x v="0"/>
  </r>
  <r>
    <x v="7"/>
    <n v="21"/>
    <n v="0.5"/>
    <x v="3"/>
  </r>
  <r>
    <x v="8"/>
    <n v="21"/>
    <n v="4"/>
    <x v="0"/>
  </r>
  <r>
    <x v="8"/>
    <n v="21"/>
    <n v="0.5"/>
    <x v="2"/>
  </r>
  <r>
    <x v="9"/>
    <n v="21"/>
    <n v="2"/>
    <x v="0"/>
  </r>
  <r>
    <x v="9"/>
    <n v="21"/>
    <n v="3.5"/>
    <x v="4"/>
  </r>
  <r>
    <x v="9"/>
    <n v="21"/>
    <n v="0.5"/>
    <x v="3"/>
  </r>
  <r>
    <x v="10"/>
    <n v="20"/>
    <n v="1.25"/>
    <x v="0"/>
  </r>
  <r>
    <x v="10"/>
    <n v="20"/>
    <n v="4"/>
    <x v="0"/>
  </r>
  <r>
    <x v="11"/>
    <n v="20"/>
    <n v="6.25"/>
    <x v="0"/>
  </r>
  <r>
    <x v="11"/>
    <n v="20"/>
    <n v="0.5"/>
    <x v="3"/>
  </r>
  <r>
    <x v="12"/>
    <n v="20"/>
    <n v="4"/>
    <x v="0"/>
  </r>
  <r>
    <x v="12"/>
    <n v="20"/>
    <n v="0.5"/>
    <x v="4"/>
  </r>
  <r>
    <x v="13"/>
    <n v="20"/>
    <n v="6"/>
    <x v="0"/>
  </r>
  <r>
    <x v="14"/>
    <n v="19"/>
    <n v="1.5"/>
    <x v="4"/>
  </r>
  <r>
    <x v="14"/>
    <n v="19"/>
    <n v="2"/>
    <x v="4"/>
  </r>
  <r>
    <x v="14"/>
    <n v="19"/>
    <n v="1"/>
    <x v="4"/>
  </r>
  <r>
    <x v="15"/>
    <n v="19"/>
    <n v="1.5"/>
    <x v="4"/>
  </r>
  <r>
    <x v="15"/>
    <n v="19"/>
    <n v="0.5"/>
    <x v="3"/>
  </r>
  <r>
    <x v="15"/>
    <n v="19"/>
    <n v="0.5"/>
    <x v="4"/>
  </r>
  <r>
    <x v="15"/>
    <n v="19"/>
    <n v="0.5"/>
    <x v="3"/>
  </r>
  <r>
    <x v="15"/>
    <n v="19"/>
    <n v="2"/>
    <x v="4"/>
  </r>
  <r>
    <x v="15"/>
    <n v="19"/>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1" firstHeaderRow="1" firstDataRow="2" firstDataCol="1"/>
  <pivotFields count="4">
    <pivotField axis="axisRow" numFmtId="16" showAll="0">
      <items count="18">
        <item m="1" x="16"/>
        <item x="9"/>
        <item x="11"/>
        <item x="12"/>
        <item x="13"/>
        <item x="14"/>
        <item x="15"/>
        <item x="10"/>
        <item x="6"/>
        <item x="7"/>
        <item x="8"/>
        <item x="3"/>
        <item x="4"/>
        <item x="5"/>
        <item x="1"/>
        <item x="2"/>
        <item x="0"/>
        <item t="default"/>
      </items>
    </pivotField>
    <pivotField showAll="0"/>
    <pivotField dataField="1" showAll="0"/>
    <pivotField axis="axisCol" showAll="0">
      <items count="6">
        <item x="2"/>
        <item x="0"/>
        <item x="4"/>
        <item x="1"/>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6">
    <i>
      <x/>
    </i>
    <i>
      <x v="1"/>
    </i>
    <i>
      <x v="2"/>
    </i>
    <i>
      <x v="3"/>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6"/>
  <sheetViews>
    <sheetView tabSelected="1" workbookViewId="0">
      <selection activeCell="E3" sqref="E3"/>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11</v>
      </c>
      <c r="C1" s="9" t="s">
        <v>3</v>
      </c>
      <c r="D1" s="6" t="s">
        <v>4</v>
      </c>
      <c r="E1" s="24" t="s">
        <v>0</v>
      </c>
      <c r="F1" s="10" t="s">
        <v>1</v>
      </c>
    </row>
    <row r="2" spans="1:9" ht="30" x14ac:dyDescent="0.25">
      <c r="A2" s="7">
        <v>43258</v>
      </c>
      <c r="B2" s="19">
        <f t="shared" ref="B2" si="0">WEEKNUM(A2)</f>
        <v>23</v>
      </c>
      <c r="C2" s="12">
        <v>0.5</v>
      </c>
      <c r="D2" s="22" t="s">
        <v>13</v>
      </c>
      <c r="E2" s="26" t="s">
        <v>70</v>
      </c>
      <c r="F2" s="23"/>
      <c r="I2" s="15"/>
    </row>
    <row r="3" spans="1:9" x14ac:dyDescent="0.25">
      <c r="A3" s="7">
        <v>43258</v>
      </c>
      <c r="B3" s="19">
        <f t="shared" ref="B3" si="1">WEEKNUM(A3)</f>
        <v>23</v>
      </c>
      <c r="C3" s="12">
        <v>1.5</v>
      </c>
      <c r="D3" s="22" t="s">
        <v>9</v>
      </c>
      <c r="E3" s="26" t="s">
        <v>69</v>
      </c>
      <c r="F3" s="23"/>
      <c r="I3" s="15"/>
    </row>
    <row r="4" spans="1:9" x14ac:dyDescent="0.25">
      <c r="A4" s="7">
        <v>43257</v>
      </c>
      <c r="B4" s="19">
        <f t="shared" ref="B4" si="2">WEEKNUM(A4)</f>
        <v>23</v>
      </c>
      <c r="C4" s="12">
        <v>1.25</v>
      </c>
      <c r="D4" s="22" t="s">
        <v>7</v>
      </c>
      <c r="E4" s="26" t="s">
        <v>68</v>
      </c>
      <c r="F4" s="23"/>
      <c r="I4" s="15"/>
    </row>
    <row r="5" spans="1:9" x14ac:dyDescent="0.25">
      <c r="A5" s="7">
        <v>43257</v>
      </c>
      <c r="B5" s="19">
        <f t="shared" ref="B5" si="3">WEEKNUM(A5)</f>
        <v>23</v>
      </c>
      <c r="C5" s="12">
        <v>1.5</v>
      </c>
      <c r="D5" s="22" t="s">
        <v>8</v>
      </c>
      <c r="E5" s="26" t="s">
        <v>66</v>
      </c>
      <c r="F5" s="23" t="s">
        <v>67</v>
      </c>
      <c r="I5" s="15"/>
    </row>
    <row r="6" spans="1:9" ht="45" x14ac:dyDescent="0.25">
      <c r="A6" s="7">
        <v>43257</v>
      </c>
      <c r="B6" s="19">
        <f t="shared" ref="B6" si="4">WEEKNUM(A6)</f>
        <v>23</v>
      </c>
      <c r="C6" s="12">
        <v>2.5</v>
      </c>
      <c r="D6" s="22" t="s">
        <v>9</v>
      </c>
      <c r="E6" s="26" t="s">
        <v>64</v>
      </c>
      <c r="F6" s="23" t="s">
        <v>65</v>
      </c>
      <c r="I6" s="15"/>
    </row>
    <row r="7" spans="1:9" ht="45" x14ac:dyDescent="0.25">
      <c r="A7" s="7">
        <v>43256</v>
      </c>
      <c r="B7" s="19">
        <f t="shared" ref="B7" si="5">WEEKNUM(A7)</f>
        <v>23</v>
      </c>
      <c r="C7" s="12">
        <v>3.5</v>
      </c>
      <c r="D7" s="22" t="s">
        <v>7</v>
      </c>
      <c r="E7" s="26" t="s">
        <v>62</v>
      </c>
      <c r="F7" s="23" t="s">
        <v>63</v>
      </c>
      <c r="I7" s="15"/>
    </row>
    <row r="8" spans="1:9" x14ac:dyDescent="0.25">
      <c r="A8" s="7">
        <v>43256</v>
      </c>
      <c r="B8" s="19">
        <f t="shared" ref="B8" si="6">WEEKNUM(A8)</f>
        <v>23</v>
      </c>
      <c r="C8" s="12">
        <v>3</v>
      </c>
      <c r="D8" s="22" t="s">
        <v>9</v>
      </c>
      <c r="E8" s="26" t="s">
        <v>61</v>
      </c>
      <c r="F8" s="23"/>
      <c r="I8" s="15"/>
    </row>
    <row r="9" spans="1:9" ht="30" x14ac:dyDescent="0.25">
      <c r="A9" s="7">
        <v>43252</v>
      </c>
      <c r="B9" s="19">
        <f t="shared" ref="B9" si="7">WEEKNUM(A9)</f>
        <v>22</v>
      </c>
      <c r="C9" s="12">
        <v>2.25</v>
      </c>
      <c r="D9" s="22" t="s">
        <v>9</v>
      </c>
      <c r="E9" s="26" t="s">
        <v>58</v>
      </c>
      <c r="F9" s="23"/>
      <c r="I9" s="15"/>
    </row>
    <row r="10" spans="1:9" ht="30" x14ac:dyDescent="0.25">
      <c r="A10" s="7">
        <v>43252</v>
      </c>
      <c r="B10" s="19">
        <f t="shared" ref="B10" si="8">WEEKNUM(A10)</f>
        <v>22</v>
      </c>
      <c r="C10" s="12">
        <v>2.5</v>
      </c>
      <c r="D10" s="22" t="s">
        <v>7</v>
      </c>
      <c r="E10" s="26" t="s">
        <v>59</v>
      </c>
      <c r="F10" s="23" t="s">
        <v>60</v>
      </c>
      <c r="I10" s="15"/>
    </row>
    <row r="11" spans="1:9" ht="30" x14ac:dyDescent="0.25">
      <c r="A11" s="7">
        <v>43252</v>
      </c>
      <c r="B11" s="19">
        <f t="shared" ref="B11" si="9">WEEKNUM(A11)</f>
        <v>22</v>
      </c>
      <c r="C11" s="12">
        <v>0.5</v>
      </c>
      <c r="D11" s="22" t="s">
        <v>13</v>
      </c>
      <c r="E11" s="26" t="s">
        <v>56</v>
      </c>
      <c r="F11" s="23"/>
      <c r="I11" s="15"/>
    </row>
    <row r="12" spans="1:9" ht="30" x14ac:dyDescent="0.25">
      <c r="A12" s="7">
        <v>43251</v>
      </c>
      <c r="B12" s="19">
        <f t="shared" ref="B12" si="10">WEEKNUM(A12)</f>
        <v>22</v>
      </c>
      <c r="C12" s="12">
        <v>2.75</v>
      </c>
      <c r="D12" s="22" t="s">
        <v>9</v>
      </c>
      <c r="E12" s="26" t="s">
        <v>57</v>
      </c>
      <c r="F12" s="23"/>
      <c r="I12" s="15"/>
    </row>
    <row r="13" spans="1:9" ht="30" x14ac:dyDescent="0.25">
      <c r="A13" s="7">
        <v>43251</v>
      </c>
      <c r="B13" s="19">
        <f t="shared" ref="B13" si="11">WEEKNUM(A13)</f>
        <v>22</v>
      </c>
      <c r="C13" s="12">
        <v>4</v>
      </c>
      <c r="D13" s="22" t="s">
        <v>7</v>
      </c>
      <c r="E13" s="26" t="s">
        <v>55</v>
      </c>
      <c r="F13" s="23"/>
      <c r="I13" s="15"/>
    </row>
    <row r="14" spans="1:9" x14ac:dyDescent="0.25">
      <c r="A14" s="7">
        <v>43250</v>
      </c>
      <c r="B14" s="19">
        <f t="shared" ref="B14" si="12">WEEKNUM(A14)</f>
        <v>22</v>
      </c>
      <c r="C14" s="12">
        <v>0.75</v>
      </c>
      <c r="D14" s="22" t="s">
        <v>9</v>
      </c>
      <c r="E14" s="26" t="s">
        <v>54</v>
      </c>
      <c r="F14" s="23"/>
      <c r="I14" s="15"/>
    </row>
    <row r="15" spans="1:9" ht="60" x14ac:dyDescent="0.25">
      <c r="A15" s="7">
        <v>43250</v>
      </c>
      <c r="B15" s="19">
        <f t="shared" ref="B15" si="13">WEEKNUM(A15)</f>
        <v>22</v>
      </c>
      <c r="C15" s="12">
        <v>3</v>
      </c>
      <c r="D15" s="22" t="s">
        <v>7</v>
      </c>
      <c r="E15" s="26" t="s">
        <v>53</v>
      </c>
      <c r="F15" s="23"/>
      <c r="I15" s="15"/>
    </row>
    <row r="16" spans="1:9" ht="30" x14ac:dyDescent="0.25">
      <c r="A16" s="7">
        <v>43249</v>
      </c>
      <c r="B16" s="19">
        <f t="shared" ref="B16" si="14">WEEKNUM(A16)</f>
        <v>22</v>
      </c>
      <c r="C16" s="12">
        <v>1.5</v>
      </c>
      <c r="D16" s="22" t="s">
        <v>9</v>
      </c>
      <c r="E16" s="26" t="s">
        <v>52</v>
      </c>
      <c r="F16" s="23"/>
      <c r="I16" s="15"/>
    </row>
    <row r="17" spans="1:9" ht="45" x14ac:dyDescent="0.25">
      <c r="A17" s="7">
        <v>43249</v>
      </c>
      <c r="B17" s="19">
        <f t="shared" ref="B17" si="15">WEEKNUM(A17)</f>
        <v>22</v>
      </c>
      <c r="C17" s="12">
        <v>0.5</v>
      </c>
      <c r="D17" s="22" t="s">
        <v>13</v>
      </c>
      <c r="E17" s="26" t="s">
        <v>50</v>
      </c>
      <c r="F17" s="23"/>
      <c r="I17" s="15"/>
    </row>
    <row r="18" spans="1:9" ht="45" x14ac:dyDescent="0.25">
      <c r="A18" s="7">
        <v>43249</v>
      </c>
      <c r="B18" s="19">
        <f t="shared" ref="B18" si="16">WEEKNUM(A18)</f>
        <v>22</v>
      </c>
      <c r="C18" s="12">
        <v>4</v>
      </c>
      <c r="D18" s="22" t="s">
        <v>7</v>
      </c>
      <c r="E18" s="26" t="s">
        <v>51</v>
      </c>
      <c r="F18" s="23"/>
      <c r="I18" s="15"/>
    </row>
    <row r="19" spans="1:9" ht="45" x14ac:dyDescent="0.25">
      <c r="A19" s="7">
        <v>43245</v>
      </c>
      <c r="B19" s="19">
        <f t="shared" ref="B19" si="17">WEEKNUM(A19)</f>
        <v>21</v>
      </c>
      <c r="C19" s="12">
        <v>1.75</v>
      </c>
      <c r="D19" s="22" t="s">
        <v>7</v>
      </c>
      <c r="E19" s="26" t="s">
        <v>48</v>
      </c>
      <c r="F19" s="23"/>
      <c r="I19" s="15"/>
    </row>
    <row r="20" spans="1:9" ht="30" x14ac:dyDescent="0.25">
      <c r="A20" s="7">
        <v>43245</v>
      </c>
      <c r="B20" s="19">
        <f t="shared" ref="B20" si="18">WEEKNUM(A20)</f>
        <v>21</v>
      </c>
      <c r="C20" s="12">
        <v>0.5</v>
      </c>
      <c r="D20" s="22" t="s">
        <v>6</v>
      </c>
      <c r="E20" s="26" t="s">
        <v>47</v>
      </c>
      <c r="F20" s="23"/>
      <c r="I20" s="15"/>
    </row>
    <row r="21" spans="1:9" ht="30" x14ac:dyDescent="0.25">
      <c r="A21" s="7">
        <v>43245</v>
      </c>
      <c r="B21" s="19">
        <f t="shared" ref="B21" si="19">WEEKNUM(A21)</f>
        <v>21</v>
      </c>
      <c r="C21" s="12">
        <v>3</v>
      </c>
      <c r="D21" s="22" t="s">
        <v>9</v>
      </c>
      <c r="E21" s="26" t="s">
        <v>46</v>
      </c>
      <c r="F21" s="23"/>
      <c r="I21" s="15"/>
    </row>
    <row r="22" spans="1:9" ht="30" x14ac:dyDescent="0.25">
      <c r="A22" s="7">
        <v>43244</v>
      </c>
      <c r="B22" s="19">
        <f t="shared" ref="B22" si="20">WEEKNUM(A22)</f>
        <v>21</v>
      </c>
      <c r="C22" s="12">
        <v>1.25</v>
      </c>
      <c r="D22" s="13" t="s">
        <v>9</v>
      </c>
      <c r="E22" s="25" t="s">
        <v>44</v>
      </c>
      <c r="F22" s="14"/>
      <c r="I22" s="15"/>
    </row>
    <row r="23" spans="1:9" ht="45" x14ac:dyDescent="0.25">
      <c r="A23" s="7">
        <v>43244</v>
      </c>
      <c r="B23" s="19">
        <f t="shared" ref="B23" si="21">WEEKNUM(A23)</f>
        <v>21</v>
      </c>
      <c r="C23" s="12">
        <v>5</v>
      </c>
      <c r="D23" s="13" t="s">
        <v>7</v>
      </c>
      <c r="E23" s="14" t="s">
        <v>45</v>
      </c>
      <c r="F23" s="14"/>
      <c r="I23" s="15"/>
    </row>
    <row r="24" spans="1:9" ht="30" x14ac:dyDescent="0.25">
      <c r="A24" s="7">
        <v>43244</v>
      </c>
      <c r="B24" s="19">
        <f t="shared" ref="B24" si="22">WEEKNUM(A24)</f>
        <v>21</v>
      </c>
      <c r="C24" s="12">
        <v>0.5</v>
      </c>
      <c r="D24" s="13" t="s">
        <v>13</v>
      </c>
      <c r="E24" s="14" t="s">
        <v>42</v>
      </c>
      <c r="F24" s="14" t="s">
        <v>43</v>
      </c>
      <c r="I24" s="15"/>
    </row>
    <row r="25" spans="1:9" ht="60" x14ac:dyDescent="0.25">
      <c r="A25" s="7">
        <v>43243</v>
      </c>
      <c r="B25" s="19">
        <f t="shared" ref="B25" si="23">WEEKNUM(A25)</f>
        <v>21</v>
      </c>
      <c r="C25" s="12">
        <v>4</v>
      </c>
      <c r="D25" s="13" t="s">
        <v>7</v>
      </c>
      <c r="E25" s="14" t="s">
        <v>40</v>
      </c>
      <c r="F25" s="14" t="s">
        <v>41</v>
      </c>
      <c r="I25" s="15"/>
    </row>
    <row r="26" spans="1:9" ht="30" x14ac:dyDescent="0.25">
      <c r="A26" s="7">
        <v>43243</v>
      </c>
      <c r="B26" s="19">
        <f t="shared" ref="B26" si="24">WEEKNUM(A26)</f>
        <v>21</v>
      </c>
      <c r="C26" s="12">
        <v>0.5</v>
      </c>
      <c r="D26" s="13" t="s">
        <v>9</v>
      </c>
      <c r="E26" s="14" t="s">
        <v>39</v>
      </c>
      <c r="F26" s="14"/>
      <c r="I26" s="15"/>
    </row>
    <row r="27" spans="1:9" ht="30" x14ac:dyDescent="0.25">
      <c r="A27" s="7">
        <v>43242</v>
      </c>
      <c r="B27" s="19">
        <f t="shared" ref="B27:B35" si="25">WEEKNUM(A27)</f>
        <v>21</v>
      </c>
      <c r="C27" s="12">
        <v>2</v>
      </c>
      <c r="D27" s="13" t="s">
        <v>7</v>
      </c>
      <c r="E27" s="14" t="s">
        <v>36</v>
      </c>
      <c r="F27" s="14" t="s">
        <v>37</v>
      </c>
      <c r="I27" s="15"/>
    </row>
    <row r="28" spans="1:9" ht="45" x14ac:dyDescent="0.25">
      <c r="A28" s="7">
        <v>43242</v>
      </c>
      <c r="B28" s="19">
        <f t="shared" si="25"/>
        <v>21</v>
      </c>
      <c r="C28" s="12">
        <v>3.5</v>
      </c>
      <c r="D28" s="13" t="s">
        <v>6</v>
      </c>
      <c r="E28" s="14" t="s">
        <v>38</v>
      </c>
      <c r="F28" s="14"/>
      <c r="I28" s="15"/>
    </row>
    <row r="29" spans="1:9" ht="45" x14ac:dyDescent="0.25">
      <c r="A29" s="7">
        <v>43242</v>
      </c>
      <c r="B29" s="19">
        <f t="shared" si="25"/>
        <v>21</v>
      </c>
      <c r="C29" s="12">
        <v>0.5</v>
      </c>
      <c r="D29" s="13" t="s">
        <v>13</v>
      </c>
      <c r="E29" s="14" t="s">
        <v>35</v>
      </c>
      <c r="F29" s="14"/>
      <c r="I29" s="15"/>
    </row>
    <row r="30" spans="1:9" ht="45" x14ac:dyDescent="0.25">
      <c r="A30" s="7">
        <v>43238</v>
      </c>
      <c r="B30" s="19">
        <f t="shared" si="25"/>
        <v>20</v>
      </c>
      <c r="C30" s="12">
        <v>1.25</v>
      </c>
      <c r="D30" s="13" t="s">
        <v>7</v>
      </c>
      <c r="E30" s="14" t="s">
        <v>34</v>
      </c>
      <c r="F30" s="14"/>
      <c r="I30" s="15"/>
    </row>
    <row r="31" spans="1:9" ht="30" x14ac:dyDescent="0.25">
      <c r="A31" s="7">
        <v>43238</v>
      </c>
      <c r="B31" s="19">
        <f t="shared" si="25"/>
        <v>20</v>
      </c>
      <c r="C31" s="12">
        <v>4</v>
      </c>
      <c r="D31" s="13" t="s">
        <v>7</v>
      </c>
      <c r="E31" s="14" t="s">
        <v>32</v>
      </c>
      <c r="F31" s="14" t="s">
        <v>33</v>
      </c>
      <c r="I31" s="15"/>
    </row>
    <row r="32" spans="1:9" ht="45" x14ac:dyDescent="0.25">
      <c r="A32" s="7">
        <v>43237</v>
      </c>
      <c r="B32" s="19">
        <f t="shared" si="25"/>
        <v>20</v>
      </c>
      <c r="C32" s="12">
        <v>6.25</v>
      </c>
      <c r="D32" s="13" t="s">
        <v>7</v>
      </c>
      <c r="E32" s="14" t="s">
        <v>31</v>
      </c>
      <c r="F32" s="14" t="s">
        <v>30</v>
      </c>
      <c r="I32" s="15"/>
    </row>
    <row r="33" spans="1:9" ht="30" x14ac:dyDescent="0.25">
      <c r="A33" s="7">
        <v>43237</v>
      </c>
      <c r="B33" s="19">
        <f t="shared" si="25"/>
        <v>20</v>
      </c>
      <c r="C33" s="12">
        <v>0.5</v>
      </c>
      <c r="D33" s="13" t="s">
        <v>13</v>
      </c>
      <c r="E33" s="14" t="s">
        <v>29</v>
      </c>
      <c r="F33" s="14"/>
      <c r="I33" s="15"/>
    </row>
    <row r="34" spans="1:9" ht="30" x14ac:dyDescent="0.25">
      <c r="A34" s="7">
        <v>43236</v>
      </c>
      <c r="B34" s="19">
        <f t="shared" si="25"/>
        <v>20</v>
      </c>
      <c r="C34" s="12">
        <v>4</v>
      </c>
      <c r="D34" s="13" t="s">
        <v>7</v>
      </c>
      <c r="E34" s="14" t="s">
        <v>26</v>
      </c>
      <c r="F34" s="14" t="s">
        <v>27</v>
      </c>
      <c r="I34" s="15"/>
    </row>
    <row r="35" spans="1:9" x14ac:dyDescent="0.25">
      <c r="A35" s="7">
        <v>43236</v>
      </c>
      <c r="B35" s="19">
        <f t="shared" si="25"/>
        <v>20</v>
      </c>
      <c r="C35" s="12">
        <v>0.5</v>
      </c>
      <c r="D35" s="13" t="s">
        <v>6</v>
      </c>
      <c r="E35" s="14" t="s">
        <v>28</v>
      </c>
      <c r="F35" s="14"/>
      <c r="I35" s="15"/>
    </row>
    <row r="36" spans="1:9" ht="60" x14ac:dyDescent="0.25">
      <c r="A36" s="7">
        <v>43235</v>
      </c>
      <c r="B36" s="19">
        <f t="shared" ref="B36" si="26">WEEKNUM(A36)</f>
        <v>20</v>
      </c>
      <c r="C36" s="12">
        <v>6</v>
      </c>
      <c r="D36" s="13" t="s">
        <v>7</v>
      </c>
      <c r="E36" s="14" t="s">
        <v>24</v>
      </c>
      <c r="F36" s="14" t="s">
        <v>25</v>
      </c>
      <c r="I36" s="15"/>
    </row>
    <row r="37" spans="1:9" ht="45" x14ac:dyDescent="0.25">
      <c r="A37" s="7">
        <v>43229</v>
      </c>
      <c r="B37" s="19">
        <f t="shared" ref="B37:B45" si="27">WEEKNUM(A37)</f>
        <v>19</v>
      </c>
      <c r="C37" s="12">
        <v>1.5</v>
      </c>
      <c r="D37" s="13" t="s">
        <v>6</v>
      </c>
      <c r="E37" s="14" t="s">
        <v>23</v>
      </c>
      <c r="F37" s="14"/>
      <c r="I37" s="15"/>
    </row>
    <row r="38" spans="1:9" ht="45" x14ac:dyDescent="0.25">
      <c r="A38" s="7">
        <v>43229</v>
      </c>
      <c r="B38" s="19">
        <f t="shared" si="27"/>
        <v>19</v>
      </c>
      <c r="C38" s="12">
        <v>2</v>
      </c>
      <c r="D38" s="13" t="s">
        <v>6</v>
      </c>
      <c r="E38" s="14" t="s">
        <v>22</v>
      </c>
      <c r="F38" s="14"/>
      <c r="I38" s="15"/>
    </row>
    <row r="39" spans="1:9" x14ac:dyDescent="0.25">
      <c r="A39" s="7">
        <v>43229</v>
      </c>
      <c r="B39" s="19">
        <f t="shared" si="27"/>
        <v>19</v>
      </c>
      <c r="C39" s="12">
        <v>1</v>
      </c>
      <c r="D39" s="13" t="s">
        <v>6</v>
      </c>
      <c r="E39" s="14" t="s">
        <v>21</v>
      </c>
      <c r="F39" s="14"/>
      <c r="I39" s="15"/>
    </row>
    <row r="40" spans="1:9" x14ac:dyDescent="0.25">
      <c r="A40" s="7">
        <v>43228</v>
      </c>
      <c r="B40" s="19">
        <f t="shared" si="27"/>
        <v>19</v>
      </c>
      <c r="C40" s="12">
        <v>1.5</v>
      </c>
      <c r="D40" s="13" t="s">
        <v>6</v>
      </c>
      <c r="E40" s="14" t="s">
        <v>20</v>
      </c>
      <c r="F40" s="14"/>
      <c r="I40" s="15"/>
    </row>
    <row r="41" spans="1:9" x14ac:dyDescent="0.25">
      <c r="A41" s="7">
        <v>43228</v>
      </c>
      <c r="B41" s="19">
        <f t="shared" si="27"/>
        <v>19</v>
      </c>
      <c r="C41" s="12">
        <v>0.5</v>
      </c>
      <c r="D41" s="13" t="s">
        <v>13</v>
      </c>
      <c r="E41" s="14" t="s">
        <v>18</v>
      </c>
      <c r="F41" s="14"/>
      <c r="I41" s="15"/>
    </row>
    <row r="42" spans="1:9" x14ac:dyDescent="0.25">
      <c r="A42" s="7">
        <v>43228</v>
      </c>
      <c r="B42" s="19">
        <f t="shared" si="27"/>
        <v>19</v>
      </c>
      <c r="C42" s="12">
        <v>0.5</v>
      </c>
      <c r="D42" s="13" t="s">
        <v>6</v>
      </c>
      <c r="E42" s="14" t="s">
        <v>19</v>
      </c>
      <c r="F42" s="14"/>
      <c r="I42" s="15"/>
    </row>
    <row r="43" spans="1:9" ht="30" x14ac:dyDescent="0.25">
      <c r="A43" s="7">
        <v>43228</v>
      </c>
      <c r="B43" s="19">
        <f t="shared" si="27"/>
        <v>19</v>
      </c>
      <c r="C43" s="12">
        <v>0.5</v>
      </c>
      <c r="D43" s="13" t="s">
        <v>13</v>
      </c>
      <c r="E43" s="14" t="s">
        <v>14</v>
      </c>
      <c r="F43" s="14" t="s">
        <v>15</v>
      </c>
      <c r="I43" s="15"/>
    </row>
    <row r="44" spans="1:9" x14ac:dyDescent="0.25">
      <c r="A44" s="7">
        <v>43228</v>
      </c>
      <c r="B44" s="19">
        <f t="shared" si="27"/>
        <v>19</v>
      </c>
      <c r="C44" s="12">
        <v>2</v>
      </c>
      <c r="D44" s="13" t="s">
        <v>6</v>
      </c>
      <c r="E44" s="14" t="s">
        <v>16</v>
      </c>
      <c r="F44" s="14"/>
      <c r="I44" s="15"/>
    </row>
    <row r="45" spans="1:9" ht="30" x14ac:dyDescent="0.25">
      <c r="A45" s="7">
        <v>43228</v>
      </c>
      <c r="B45" s="19">
        <f t="shared" si="27"/>
        <v>19</v>
      </c>
      <c r="C45" s="12">
        <v>1</v>
      </c>
      <c r="D45" s="13" t="s">
        <v>7</v>
      </c>
      <c r="E45" s="14" t="s">
        <v>17</v>
      </c>
      <c r="F45" s="14"/>
      <c r="I45" s="15"/>
    </row>
    <row r="46" spans="1:9" x14ac:dyDescent="0.25">
      <c r="A46" s="21"/>
    </row>
  </sheetData>
  <sheetProtection selectLockedCells="1"/>
  <sortState ref="A14:F15">
    <sortCondition ref="A14"/>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1"/>
  <sheetViews>
    <sheetView workbookViewId="0">
      <selection activeCell="G20" sqref="G20"/>
    </sheetView>
  </sheetViews>
  <sheetFormatPr baseColWidth="10" defaultColWidth="11.42578125" defaultRowHeight="15" x14ac:dyDescent="0.25"/>
  <cols>
    <col min="1" max="1" width="20" bestFit="1" customWidth="1"/>
    <col min="2" max="2" width="14.85546875" bestFit="1" customWidth="1"/>
    <col min="3" max="3" width="15.5703125" bestFit="1" customWidth="1"/>
    <col min="4" max="4" width="8" bestFit="1" customWidth="1"/>
    <col min="5" max="5" width="5.5703125" bestFit="1" customWidth="1"/>
    <col min="6" max="6" width="8.5703125" bestFit="1" customWidth="1"/>
    <col min="7" max="7" width="11.285156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4" t="s">
        <v>12</v>
      </c>
    </row>
    <row r="4" spans="1:7" x14ac:dyDescent="0.25">
      <c r="B4" t="s">
        <v>9</v>
      </c>
      <c r="C4" t="s">
        <v>7</v>
      </c>
      <c r="D4" t="s">
        <v>6</v>
      </c>
      <c r="E4" t="s">
        <v>8</v>
      </c>
      <c r="F4" t="s">
        <v>13</v>
      </c>
      <c r="G4" t="s">
        <v>49</v>
      </c>
    </row>
    <row r="5" spans="1:7" x14ac:dyDescent="0.25">
      <c r="A5" s="5">
        <v>43242</v>
      </c>
      <c r="B5" s="3"/>
      <c r="C5" s="3">
        <v>2</v>
      </c>
      <c r="D5" s="3">
        <v>3.5</v>
      </c>
      <c r="E5" s="3"/>
      <c r="F5" s="3">
        <v>0.5</v>
      </c>
      <c r="G5" s="3">
        <v>6</v>
      </c>
    </row>
    <row r="6" spans="1:7" x14ac:dyDescent="0.25">
      <c r="A6" s="5">
        <v>43237</v>
      </c>
      <c r="B6" s="3"/>
      <c r="C6" s="3">
        <v>6.25</v>
      </c>
      <c r="D6" s="3"/>
      <c r="E6" s="3"/>
      <c r="F6" s="3">
        <v>0.5</v>
      </c>
      <c r="G6" s="3">
        <v>6.75</v>
      </c>
    </row>
    <row r="7" spans="1:7" x14ac:dyDescent="0.25">
      <c r="A7" s="5">
        <v>43236</v>
      </c>
      <c r="B7" s="3"/>
      <c r="C7" s="3">
        <v>4</v>
      </c>
      <c r="D7" s="3">
        <v>0.5</v>
      </c>
      <c r="E7" s="3"/>
      <c r="F7" s="3"/>
      <c r="G7" s="3">
        <v>4.5</v>
      </c>
    </row>
    <row r="8" spans="1:7" x14ac:dyDescent="0.25">
      <c r="A8" s="5">
        <v>43235</v>
      </c>
      <c r="B8" s="3"/>
      <c r="C8" s="3">
        <v>6</v>
      </c>
      <c r="D8" s="3"/>
      <c r="E8" s="3"/>
      <c r="F8" s="3"/>
      <c r="G8" s="3">
        <v>6</v>
      </c>
    </row>
    <row r="9" spans="1:7" x14ac:dyDescent="0.25">
      <c r="A9" s="5">
        <v>43229</v>
      </c>
      <c r="B9" s="3"/>
      <c r="C9" s="3"/>
      <c r="D9" s="3">
        <v>4.5</v>
      </c>
      <c r="E9" s="3"/>
      <c r="F9" s="3"/>
      <c r="G9" s="3">
        <v>4.5</v>
      </c>
    </row>
    <row r="10" spans="1:7" x14ac:dyDescent="0.25">
      <c r="A10" s="5">
        <v>43228</v>
      </c>
      <c r="B10" s="3"/>
      <c r="C10" s="3">
        <v>1</v>
      </c>
      <c r="D10" s="3">
        <v>4</v>
      </c>
      <c r="E10" s="3"/>
      <c r="F10" s="3">
        <v>1</v>
      </c>
      <c r="G10" s="3">
        <v>6</v>
      </c>
    </row>
    <row r="11" spans="1:7" x14ac:dyDescent="0.25">
      <c r="A11" s="5">
        <v>43238</v>
      </c>
      <c r="B11" s="3"/>
      <c r="C11" s="3">
        <v>5.25</v>
      </c>
      <c r="D11" s="3"/>
      <c r="E11" s="3"/>
      <c r="F11" s="3"/>
      <c r="G11" s="3">
        <v>5.25</v>
      </c>
    </row>
    <row r="12" spans="1:7" x14ac:dyDescent="0.25">
      <c r="A12" s="5">
        <v>43245</v>
      </c>
      <c r="B12" s="3">
        <v>3</v>
      </c>
      <c r="C12" s="3">
        <v>1.75</v>
      </c>
      <c r="D12" s="3">
        <v>0.5</v>
      </c>
      <c r="E12" s="3"/>
      <c r="F12" s="3"/>
      <c r="G12" s="3">
        <v>5.25</v>
      </c>
    </row>
    <row r="13" spans="1:7" x14ac:dyDescent="0.25">
      <c r="A13" s="5">
        <v>43244</v>
      </c>
      <c r="B13" s="3">
        <v>1.25</v>
      </c>
      <c r="C13" s="3">
        <v>5</v>
      </c>
      <c r="D13" s="3"/>
      <c r="E13" s="3"/>
      <c r="F13" s="3">
        <v>0.5</v>
      </c>
      <c r="G13" s="3">
        <v>6.75</v>
      </c>
    </row>
    <row r="14" spans="1:7" x14ac:dyDescent="0.25">
      <c r="A14" s="5">
        <v>43243</v>
      </c>
      <c r="B14" s="3">
        <v>0.5</v>
      </c>
      <c r="C14" s="3">
        <v>4</v>
      </c>
      <c r="D14" s="3"/>
      <c r="E14" s="3"/>
      <c r="F14" s="3"/>
      <c r="G14" s="3">
        <v>4.5</v>
      </c>
    </row>
    <row r="15" spans="1:7" x14ac:dyDescent="0.25">
      <c r="A15" s="5">
        <v>43251</v>
      </c>
      <c r="B15" s="3">
        <v>2.75</v>
      </c>
      <c r="C15" s="3">
        <v>4</v>
      </c>
      <c r="D15" s="3"/>
      <c r="E15" s="3"/>
      <c r="F15" s="3"/>
      <c r="G15" s="3">
        <v>6.75</v>
      </c>
    </row>
    <row r="16" spans="1:7" x14ac:dyDescent="0.25">
      <c r="A16" s="5">
        <v>43250</v>
      </c>
      <c r="B16" s="3">
        <v>0.75</v>
      </c>
      <c r="C16" s="3">
        <v>3</v>
      </c>
      <c r="D16" s="3"/>
      <c r="E16" s="3"/>
      <c r="F16" s="3"/>
      <c r="G16" s="3">
        <v>3.75</v>
      </c>
    </row>
    <row r="17" spans="1:7" x14ac:dyDescent="0.25">
      <c r="A17" s="5">
        <v>43249</v>
      </c>
      <c r="B17" s="3">
        <v>1.5</v>
      </c>
      <c r="C17" s="3">
        <v>4</v>
      </c>
      <c r="D17" s="3"/>
      <c r="E17" s="3"/>
      <c r="F17" s="3">
        <v>0.5</v>
      </c>
      <c r="G17" s="3">
        <v>6</v>
      </c>
    </row>
    <row r="18" spans="1:7" x14ac:dyDescent="0.25">
      <c r="A18" s="5">
        <v>43256</v>
      </c>
      <c r="B18" s="3">
        <v>3</v>
      </c>
      <c r="C18" s="3">
        <v>3.5</v>
      </c>
      <c r="D18" s="3"/>
      <c r="E18" s="3"/>
      <c r="F18" s="3"/>
      <c r="G18" s="3">
        <v>6.5</v>
      </c>
    </row>
    <row r="19" spans="1:7" x14ac:dyDescent="0.25">
      <c r="A19" s="5">
        <v>43252</v>
      </c>
      <c r="B19" s="3">
        <v>2.25</v>
      </c>
      <c r="C19" s="3">
        <v>2.5</v>
      </c>
      <c r="D19" s="3"/>
      <c r="E19" s="3"/>
      <c r="F19" s="3">
        <v>0.5</v>
      </c>
      <c r="G19" s="3">
        <v>5.25</v>
      </c>
    </row>
    <row r="20" spans="1:7" x14ac:dyDescent="0.25">
      <c r="A20" s="5">
        <v>43257</v>
      </c>
      <c r="B20" s="3">
        <v>2.5</v>
      </c>
      <c r="C20" s="3">
        <v>1.5</v>
      </c>
      <c r="D20" s="3"/>
      <c r="E20" s="3">
        <v>1.5</v>
      </c>
      <c r="F20" s="3"/>
      <c r="G20" s="3">
        <v>5.5</v>
      </c>
    </row>
    <row r="21" spans="1:7" x14ac:dyDescent="0.25">
      <c r="A21" s="5" t="s">
        <v>49</v>
      </c>
      <c r="B21" s="3">
        <v>17.5</v>
      </c>
      <c r="C21" s="3">
        <v>53.75</v>
      </c>
      <c r="D21" s="3">
        <v>13</v>
      </c>
      <c r="E21" s="3">
        <v>1.5</v>
      </c>
      <c r="F21" s="3">
        <v>3.5</v>
      </c>
      <c r="G21" s="3">
        <v>89.25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2018-06-07T08:17:05Z</dcterms:modified>
</cp:coreProperties>
</file>